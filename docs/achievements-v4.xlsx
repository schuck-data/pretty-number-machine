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hievements" sheetId="1" state="visible" r:id="rId1"/>
    <sheet name="Summary" sheetId="2" state="visible" r:id="rId2"/>
  </sheets>
  <definedNames>
    <definedName name="_xlnm._FilterDatabase" localSheetId="0" hidden="1">'Achievements'!$A$1:$M$86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b val="1"/>
      <sz val="14"/>
    </font>
    <font>
      <name val="Arial"/>
      <i val="1"/>
      <sz val="10"/>
    </font>
    <font>
      <name val="Arial"/>
      <color rgb="000000FF"/>
      <sz val="10"/>
    </font>
  </fonts>
  <fills count="8">
    <fill>
      <patternFill/>
    </fill>
    <fill>
      <patternFill patternType="gray125"/>
    </fill>
    <fill>
      <patternFill patternType="solid">
        <fgColor rgb="001F3864"/>
      </patternFill>
    </fill>
    <fill>
      <patternFill patternType="solid">
        <fgColor rgb="00E8F1DE"/>
      </patternFill>
    </fill>
    <fill>
      <patternFill patternType="solid">
        <fgColor rgb="00DEEAF6"/>
      </patternFill>
    </fill>
    <fill>
      <patternFill patternType="solid">
        <fgColor rgb="00FFF2CC"/>
      </patternFill>
    </fill>
    <fill>
      <patternFill patternType="solid">
        <fgColor rgb="00FDE9D9"/>
      </patternFill>
    </fill>
    <fill>
      <patternFill patternType="solid">
        <fgColor rgb="00F2E1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0" borderId="1" applyAlignment="1" pivotButton="0" quotePrefix="0" xfId="0">
      <alignment horizontal="left" vertical="top"/>
    </xf>
    <xf numFmtId="0" fontId="2" fillId="0" borderId="1" applyAlignment="1" pivotButton="0" quotePrefix="0" xfId="0">
      <alignment horizontal="left" vertical="top" wrapText="1"/>
    </xf>
    <xf numFmtId="0" fontId="2" fillId="4" borderId="1" applyAlignment="1" pivotButton="0" quotePrefix="0" xfId="0">
      <alignment horizontal="left" vertical="top"/>
    </xf>
    <xf numFmtId="0" fontId="3" fillId="5" borderId="1" applyAlignment="1" pivotButton="0" quotePrefix="0" xfId="0">
      <alignment horizontal="left" vertical="top"/>
    </xf>
    <xf numFmtId="0" fontId="2" fillId="5" borderId="1" applyAlignment="1" pivotButton="0" quotePrefix="0" xfId="0">
      <alignment horizontal="left" vertical="top"/>
    </xf>
    <xf numFmtId="0" fontId="2" fillId="6" borderId="1" applyAlignment="1" pivotButton="0" quotePrefix="0" xfId="0">
      <alignment horizontal="left" vertical="top"/>
    </xf>
    <xf numFmtId="0" fontId="2" fillId="7" borderId="1" applyAlignment="1" pivotButton="0" quotePrefix="0" xfId="0">
      <alignment horizontal="left" vertical="top"/>
    </xf>
    <xf numFmtId="0" fontId="4" fillId="0" borderId="0" pivotButton="0" quotePrefix="0" xfId="0"/>
    <xf numFmtId="0" fontId="5" fillId="0" borderId="0" pivotButton="0" quotePrefix="0" xfId="0"/>
    <xf numFmtId="0" fontId="1" fillId="2" borderId="1" applyAlignment="1" pivotButton="0" quotePrefix="0" xfId="0">
      <alignment horizontal="center"/>
    </xf>
    <xf numFmtId="0" fontId="2" fillId="0" borderId="1" pivotButton="0" quotePrefix="0" xfId="0"/>
    <xf numFmtId="0" fontId="3" fillId="0" borderId="1" pivotButton="0" quotePrefix="0" xfId="0"/>
    <xf numFmtId="0" fontId="0" fillId="0" borderId="1" pivotButton="0" quotePrefix="0" xfId="0"/>
    <xf numFmtId="0" fontId="6"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7" customWidth="1" min="3" max="3"/>
    <col width="13" customWidth="1" min="4" max="4"/>
    <col width="15" customWidth="1" min="5" max="5"/>
    <col width="32" customWidth="1" min="6" max="6"/>
    <col width="42" customWidth="1" min="7" max="7"/>
    <col width="24" customWidth="1" min="8" max="8"/>
    <col width="8" customWidth="1" min="9" max="9"/>
    <col width="74" customWidth="1" min="10" max="10"/>
    <col width="12" customWidth="1" min="11" max="11"/>
    <col width="6" customWidth="1" min="12" max="12"/>
    <col width="46" customWidth="1" min="13" max="13"/>
  </cols>
  <sheetData>
    <row r="1" ht="34" customHeight="1">
      <c r="A1" s="1" t="inlineStr">
        <is>
          <t>Branch</t>
        </is>
      </c>
      <c r="B1" s="1" t="inlineStr">
        <is>
          <t>Cluster</t>
        </is>
      </c>
      <c r="C1" s="1" t="inlineStr">
        <is>
          <t>Order</t>
        </is>
      </c>
      <c r="D1" s="1" t="inlineStr">
        <is>
          <t>ID</t>
        </is>
      </c>
      <c r="E1" s="1" t="inlineStr">
        <is>
          <t>Name</t>
        </is>
      </c>
      <c r="F1" s="1" t="inlineStr">
        <is>
          <t>Clue (in-app hint)</t>
        </is>
      </c>
      <c r="G1" s="1" t="inlineStr">
        <is>
          <t>Criteria (Play Console description)</t>
        </is>
      </c>
      <c r="H1" s="1" t="inlineStr">
        <is>
          <t>Gilds</t>
        </is>
      </c>
      <c r="I1" s="1" t="inlineStr">
        <is>
          <t>Gild count</t>
        </is>
      </c>
      <c r="J1" s="1" t="inlineStr">
        <is>
          <t>Blurb (optional)</t>
        </is>
      </c>
      <c r="K1" s="1" t="inlineStr">
        <is>
          <t>Status</t>
        </is>
      </c>
      <c r="L1" s="1" t="inlineStr">
        <is>
          <t>XP</t>
        </is>
      </c>
      <c r="M1" s="1" t="inlineStr">
        <is>
          <t>D notes</t>
        </is>
      </c>
    </row>
    <row r="2">
      <c r="A2" s="2" t="inlineStr">
        <is>
          <t>Tutorial</t>
        </is>
      </c>
      <c r="B2" s="2" t="inlineStr">
        <is>
          <t>Tutorial</t>
        </is>
      </c>
      <c r="C2" s="3" t="n">
        <v>1</v>
      </c>
      <c r="D2" s="4" t="inlineStr">
        <is>
          <t>first</t>
        </is>
      </c>
      <c r="E2" s="5" t="inlineStr">
        <is>
          <t>FIRST!</t>
        </is>
      </c>
      <c r="F2" s="6" t="inlineStr">
        <is>
          <t>_switch it on_</t>
        </is>
      </c>
      <c r="G2" s="6" t="inlineStr">
        <is>
          <t>Switch achievements on from the achievements section.</t>
        </is>
      </c>
      <c r="H2" s="6" t="inlineStr">
        <is>
          <t>2</t>
        </is>
      </c>
      <c r="I2" s="3" t="n">
        <v>1</v>
      </c>
      <c r="J2" s="6" t="inlineStr">
        <is>
          <t>Congratulations, you've unlocked the Achievements! As a reward, your trophy room view has a gilded 2. So shiny! So rewarding! How many more numbers can you gild? Only one way to find out! (In the world of Primes, 2 comes 1st.)</t>
        </is>
      </c>
      <c r="K2" s="4" t="inlineStr"/>
      <c r="L2" s="3" t="n">
        <v>20</v>
      </c>
      <c r="M2" s="6" t="inlineStr"/>
    </row>
    <row r="3">
      <c r="A3" s="2" t="inlineStr">
        <is>
          <t>Tutorial</t>
        </is>
      </c>
      <c r="B3" s="2" t="inlineStr">
        <is>
          <t>Tutorial</t>
        </is>
      </c>
      <c r="C3" s="3" t="n">
        <v>2</v>
      </c>
      <c r="D3" s="4" t="inlineStr">
        <is>
          <t>exhaustive</t>
        </is>
      </c>
      <c r="E3" s="5" t="inlineStr">
        <is>
          <t>EXHAUSTIVE!</t>
        </is>
      </c>
      <c r="F3" s="6" t="inlineStr">
        <is>
          <t>_show the ones in between_</t>
        </is>
      </c>
      <c r="G3" s="6" t="inlineStr">
        <is>
          <t>Switch on all integers in range.</t>
        </is>
      </c>
      <c r="H3" s="6" t="inlineStr">
        <is>
          <t>1000</t>
        </is>
      </c>
      <c r="I3" s="3" t="n">
        <v>1</v>
      </c>
      <c r="J3" s="6" t="inlineStr">
        <is>
          <t xml:space="preserve">You've discovered the many toggles that change the shape of the Pretty Number Machine. Nice! </t>
        </is>
      </c>
      <c r="K3" s="4" t="inlineStr"/>
      <c r="L3" s="3" t="n">
        <v>20</v>
      </c>
      <c r="M3" s="6" t="inlineStr"/>
    </row>
    <row r="4">
      <c r="A4" s="2" t="inlineStr">
        <is>
          <t>Tutorial</t>
        </is>
      </c>
      <c r="B4" s="2" t="inlineStr">
        <is>
          <t>Tutorial</t>
        </is>
      </c>
      <c r="C4" s="3" t="n">
        <v>3</v>
      </c>
      <c r="D4" s="4" t="inlineStr">
        <is>
          <t>parawhat</t>
        </is>
      </c>
      <c r="E4" s="5" t="inlineStr">
        <is>
          <t>PARAWHAT?!</t>
        </is>
      </c>
      <c r="F4" s="6" t="inlineStr">
        <is>
          <t>_pe_RAS_te_kee_</t>
        </is>
      </c>
      <c r="G4" s="6" t="inlineStr">
        <is>
          <t>Turn on or adjust parastichy line visibility.</t>
        </is>
      </c>
      <c r="H4" s="6" t="inlineStr">
        <is>
          <t>137</t>
        </is>
      </c>
      <c r="I4" s="3" t="n">
        <v>1</v>
      </c>
      <c r="J4" s="6" t="inlineStr">
        <is>
          <t>Counting by prime multiples looks cool, and visualizing them was the initial motivation for Pretty Number Machine. Now you get to see them at the touch of a button. This is the texture of the numberline implicit in the concept of quantity. You're unlocking the arcane mysteries of the universe on a phone app! The future is wild!</t>
        </is>
      </c>
      <c r="K4" s="4" t="inlineStr"/>
      <c r="L4" s="3" t="n">
        <v>20</v>
      </c>
      <c r="M4" s="6" t="inlineStr"/>
    </row>
    <row r="5">
      <c r="A5" s="2" t="inlineStr">
        <is>
          <t>Tutorial</t>
        </is>
      </c>
      <c r="B5" s="2" t="inlineStr">
        <is>
          <t>Tutorial</t>
        </is>
      </c>
      <c r="C5" s="3" t="n">
        <v>4</v>
      </c>
      <c r="D5" s="4" t="inlineStr">
        <is>
          <t>art</t>
        </is>
      </c>
      <c r="E5" s="5" t="inlineStr">
        <is>
          <t>ART!</t>
        </is>
      </c>
      <c r="F5" s="6" t="inlineStr">
        <is>
          <t>_change how it looks, not what it is_</t>
        </is>
      </c>
      <c r="G5" s="6" t="inlineStr">
        <is>
          <t>Change any appearance setting.</t>
        </is>
      </c>
      <c r="H5" s="6" t="inlineStr">
        <is>
          <t>433</t>
        </is>
      </c>
      <c r="I5" s="3" t="n">
        <v>1</v>
      </c>
      <c r="J5" s="6" t="inlineStr">
        <is>
          <t>Art cannot be explained, it must be EXPERIENCED!</t>
        </is>
      </c>
      <c r="K5" s="4" t="inlineStr"/>
      <c r="L5" s="3" t="n">
        <v>20</v>
      </c>
      <c r="M5" s="6" t="inlineStr"/>
    </row>
    <row r="6">
      <c r="A6" s="2" t="inlineStr">
        <is>
          <t>Tutorial</t>
        </is>
      </c>
      <c r="B6" s="2" t="inlineStr">
        <is>
          <t>Tutorial</t>
        </is>
      </c>
      <c r="C6" s="3" t="n">
        <v>5</v>
      </c>
      <c r="D6" s="4" t="inlineStr">
        <is>
          <t>bophades</t>
        </is>
      </c>
      <c r="E6" s="5" t="inlineStr">
        <is>
          <t>ORBS!</t>
        </is>
      </c>
      <c r="F6" s="6" t="inlineStr">
        <is>
          <t>_so big_</t>
        </is>
      </c>
      <c r="G6" s="6" t="inlineStr">
        <is>
          <t>Take node size to its maximum.</t>
        </is>
      </c>
      <c r="H6" s="6" t="n">
        <v>8</v>
      </c>
      <c r="I6" s="3" t="n">
        <v>1</v>
      </c>
      <c r="J6" s="6" t="inlineStr">
        <is>
          <t>Wow, they're huge!</t>
        </is>
      </c>
      <c r="K6" s="4" t="inlineStr"/>
      <c r="L6" s="3" t="n">
        <v>20</v>
      </c>
      <c r="M6" s="6" t="inlineStr"/>
    </row>
    <row r="7">
      <c r="A7" s="2" t="inlineStr">
        <is>
          <t>Tutorial</t>
        </is>
      </c>
      <c r="B7" s="2" t="inlineStr">
        <is>
          <t>Tutorial</t>
        </is>
      </c>
      <c r="C7" s="3" t="n">
        <v>6</v>
      </c>
      <c r="D7" s="4" t="inlineStr">
        <is>
          <t>maximalist</t>
        </is>
      </c>
      <c r="E7" s="5" t="inlineStr">
        <is>
          <t>MAXIMALIST!</t>
        </is>
      </c>
      <c r="F7" s="6" t="inlineStr">
        <is>
          <t>_push the slider all the way_</t>
        </is>
      </c>
      <c r="G7" s="6" t="inlineStr">
        <is>
          <t>Take the range slider to its maximum, 2500.</t>
        </is>
      </c>
      <c r="H7" s="6" t="inlineStr">
        <is>
          <t>999</t>
        </is>
      </c>
      <c r="I7" s="3" t="n">
        <v>1</v>
      </c>
      <c r="J7" s="6" t="inlineStr">
        <is>
          <t>So many!</t>
        </is>
      </c>
      <c r="K7" s="4" t="inlineStr"/>
      <c r="L7" s="3" t="n">
        <v>20</v>
      </c>
      <c r="M7" s="6" t="inlineStr"/>
    </row>
    <row r="8">
      <c r="A8" s="2" t="inlineStr">
        <is>
          <t>Tutorial</t>
        </is>
      </c>
      <c r="B8" s="2" t="inlineStr">
        <is>
          <t>Tutorial</t>
        </is>
      </c>
      <c r="C8" s="3" t="n">
        <v>7</v>
      </c>
      <c r="D8" s="4" t="inlineStr">
        <is>
          <t>ceiling</t>
        </is>
      </c>
      <c r="E8" s="5" t="inlineStr">
        <is>
          <t>CEILING!</t>
        </is>
      </c>
      <c r="F8" s="6" t="inlineStr">
        <is>
          <t>_the slider was lying_</t>
        </is>
      </c>
      <c r="G8" s="6" t="inlineStr">
        <is>
          <t>Set the range to 10000.</t>
        </is>
      </c>
      <c r="H8" s="6" t="inlineStr">
        <is>
          <t>997</t>
        </is>
      </c>
      <c r="I8" s="3" t="n">
        <v>1</v>
      </c>
      <c r="J8" s="6" t="inlineStr">
        <is>
          <t xml:space="preserve">Okay let's not break your phone. </t>
        </is>
      </c>
      <c r="K8" s="4" t="inlineStr"/>
      <c r="L8" s="3" t="n">
        <v>20</v>
      </c>
      <c r="M8" s="6" t="inlineStr"/>
    </row>
    <row r="9">
      <c r="A9" s="2" t="inlineStr">
        <is>
          <t>Tutorial</t>
        </is>
      </c>
      <c r="B9" s="2" t="inlineStr">
        <is>
          <t>Tutorial</t>
        </is>
      </c>
      <c r="C9" s="3" t="n">
        <v>8</v>
      </c>
      <c r="D9" s="4" t="inlineStr">
        <is>
          <t>zoomies</t>
        </is>
      </c>
      <c r="E9" s="5" t="inlineStr">
        <is>
          <t>ZOOMIES!</t>
        </is>
      </c>
      <c r="F9" s="6" t="inlineStr">
        <is>
          <t>_faster, all the way_</t>
        </is>
      </c>
      <c r="G9" s="6" t="inlineStr">
        <is>
          <t>Turn morph speed up to maximum.</t>
        </is>
      </c>
      <c r="H9" s="6" t="inlineStr">
        <is>
          <t>88, 121</t>
        </is>
      </c>
      <c r="I9" s="3" t="n">
        <v>2</v>
      </c>
      <c r="J9" s="6" t="inlineStr">
        <is>
          <t>88 miles an hour, and 1.21 gigawatts.</t>
        </is>
      </c>
      <c r="K9" s="4" t="inlineStr"/>
      <c r="L9" s="3" t="n">
        <v>20</v>
      </c>
      <c r="M9" s="6" t="inlineStr"/>
    </row>
    <row r="10">
      <c r="A10" s="2" t="inlineStr">
        <is>
          <t>Tutorial</t>
        </is>
      </c>
      <c r="B10" s="2" t="inlineStr">
        <is>
          <t>Tutorial</t>
        </is>
      </c>
      <c r="C10" s="3" t="n">
        <v>9</v>
      </c>
      <c r="D10" s="4" t="inlineStr">
        <is>
          <t>boing</t>
        </is>
      </c>
      <c r="E10" s="5" t="inlineStr">
        <is>
          <t>BOING!</t>
        </is>
      </c>
      <c r="F10" s="6" t="inlineStr">
        <is>
          <t>_wait for the bottom_</t>
        </is>
      </c>
      <c r="G10" s="6" t="inlineStr">
        <is>
          <t>Let the morph reach the Spring form.</t>
        </is>
      </c>
      <c r="H10" s="6" t="n">
        <v>6</v>
      </c>
      <c r="I10" s="3" t="n">
        <v>1</v>
      </c>
      <c r="J10" s="6" t="inlineStr">
        <is>
          <t>Boingyboingyboingy! 6 looks kinda like a spring, right?</t>
        </is>
      </c>
      <c r="K10" s="4" t="inlineStr"/>
      <c r="L10" s="3" t="n">
        <v>20</v>
      </c>
      <c r="M10" s="6" t="inlineStr"/>
    </row>
    <row r="11">
      <c r="A11" s="2" t="inlineStr">
        <is>
          <t>Tutorial</t>
        </is>
      </c>
      <c r="B11" s="2" t="inlineStr">
        <is>
          <t>Tutorial</t>
        </is>
      </c>
      <c r="C11" s="3" t="n">
        <v>10</v>
      </c>
      <c r="D11" s="4" t="inlineStr">
        <is>
          <t>trippy</t>
        </is>
      </c>
      <c r="E11" s="5" t="inlineStr">
        <is>
          <t>TRIPPY!</t>
        </is>
      </c>
      <c r="F11" s="6" t="inlineStr">
        <is>
          <t>_there is a button for this_</t>
        </is>
      </c>
      <c r="G11" s="6" t="inlineStr">
        <is>
          <t>Press Dazzle.</t>
        </is>
      </c>
      <c r="H11" s="6" t="n">
        <v>815</v>
      </c>
      <c r="I11" s="3" t="n">
        <v>1</v>
      </c>
      <c r="J11" s="6" t="inlineStr">
        <is>
          <t xml:space="preserve">Far out dude, look at all the colors! You know, like, sunflowers are like a lotus if you really think about it man. Anyway, are you big into music? </t>
        </is>
      </c>
      <c r="K11" s="4" t="inlineStr"/>
      <c r="L11" s="3" t="n">
        <v>20</v>
      </c>
      <c r="M11" s="6" t="inlineStr"/>
    </row>
    <row r="12">
      <c r="A12" s="2" t="inlineStr">
        <is>
          <t>Tutorial</t>
        </is>
      </c>
      <c r="B12" s="2" t="inlineStr">
        <is>
          <t>Tutorial</t>
        </is>
      </c>
      <c r="C12" s="3" t="n">
        <v>11</v>
      </c>
      <c r="D12" s="4" t="inlineStr">
        <is>
          <t>nerd</t>
        </is>
      </c>
      <c r="E12" s="5" t="inlineStr">
        <is>
          <t>NERD!</t>
        </is>
      </c>
      <c r="F12" s="6" t="inlineStr">
        <is>
          <t>_drag the classroom across_</t>
        </is>
      </c>
      <c r="G12" s="6" t="inlineStr">
        <is>
          <t>Open the classroom lens.</t>
        </is>
      </c>
      <c r="H12" s="6" t="inlineStr">
        <is>
          <t>42</t>
        </is>
      </c>
      <c r="I12" s="3" t="n">
        <v>1</v>
      </c>
      <c r="J12" s="6" t="inlineStr">
        <is>
          <t>Knowing the name of a thing may not tell you much about its intrinsic nature, but precise jargon sure helps in conversation!</t>
        </is>
      </c>
      <c r="K12" s="4" t="inlineStr"/>
      <c r="L12" s="3" t="n">
        <v>20</v>
      </c>
      <c r="M12" s="6" t="inlineStr"/>
    </row>
    <row r="13">
      <c r="A13" s="2" t="inlineStr">
        <is>
          <t>Tutorial</t>
        </is>
      </c>
      <c r="B13" s="2" t="inlineStr">
        <is>
          <t>Tutorial</t>
        </is>
      </c>
      <c r="C13" s="3" t="n">
        <v>12</v>
      </c>
      <c r="D13" s="4" t="inlineStr">
        <is>
          <t>ouch</t>
        </is>
      </c>
      <c r="E13" s="5" t="inlineStr">
        <is>
          <t>OUCH!</t>
        </is>
      </c>
      <c r="F13" s="6" t="inlineStr">
        <is>
          <t>_take hold of the Sun_</t>
        </is>
      </c>
      <c r="G13" s="6" t="inlineStr">
        <is>
          <t>With physics on, drag node 0.</t>
        </is>
      </c>
      <c r="H13" s="6" t="inlineStr">
        <is>
          <t>149</t>
        </is>
      </c>
      <c r="I13" s="3" t="n">
        <v>1</v>
      </c>
      <c r="J13" s="6" t="inlineStr">
        <is>
          <t xml:space="preserve">Oof, you okay? Sun hot. </t>
        </is>
      </c>
      <c r="K13" s="4" t="inlineStr"/>
      <c r="L13" s="3" t="n">
        <v>20</v>
      </c>
      <c r="M13" s="6" t="inlineStr"/>
    </row>
    <row r="14">
      <c r="A14" s="2" t="inlineStr">
        <is>
          <t>Tutorial</t>
        </is>
      </c>
      <c r="B14" s="2" t="inlineStr">
        <is>
          <t>Tutorial</t>
        </is>
      </c>
      <c r="C14" s="3" t="n">
        <v>13</v>
      </c>
      <c r="D14" s="4" t="inlineStr">
        <is>
          <t>oops</t>
        </is>
      </c>
      <c r="E14" s="5" t="inlineStr">
        <is>
          <t>OOPS!</t>
        </is>
      </c>
      <c r="F14" s="6" t="inlineStr">
        <is>
          <t>_make the springs disagree_</t>
        </is>
      </c>
      <c r="G14" s="6" t="inlineStr">
        <is>
          <t>Get 20 or more nodes further than twice their rest distance from the Sun.</t>
        </is>
      </c>
      <c r="H14" s="6" t="inlineStr">
        <is>
          <t>641</t>
        </is>
      </c>
      <c r="I14" s="3" t="n">
        <v>1</v>
      </c>
      <c r="J14" s="6" t="inlineStr">
        <is>
          <t xml:space="preserve">Physics allows for stuff to get weird. </t>
        </is>
      </c>
      <c r="K14" s="4" t="inlineStr"/>
      <c r="L14" s="3" t="n">
        <v>20</v>
      </c>
      <c r="M14" s="6" t="inlineStr"/>
    </row>
    <row r="15">
      <c r="A15" s="2" t="inlineStr">
        <is>
          <t>Tutorial</t>
        </is>
      </c>
      <c r="B15" s="2" t="inlineStr">
        <is>
          <t>Tutorial</t>
        </is>
      </c>
      <c r="C15" s="3" t="n">
        <v>14</v>
      </c>
      <c r="D15" s="4" t="inlineStr">
        <is>
          <t>night</t>
        </is>
      </c>
      <c r="E15" s="5" t="inlineStr">
        <is>
          <t>NIGHT!</t>
        </is>
      </c>
      <c r="F15" s="6" t="inlineStr">
        <is>
          <t>_put out the Sun_</t>
        </is>
      </c>
      <c r="G15" s="6" t="inlineStr">
        <is>
          <t>Switch off the zero node.</t>
        </is>
      </c>
      <c r="H15" s="6" t="inlineStr">
        <is>
          <t>354</t>
        </is>
      </c>
      <c r="I15" s="3" t="n">
        <v>1</v>
      </c>
      <c r="J15" s="6" t="inlineStr">
        <is>
          <t>Uhh, who turned out the lights?</t>
        </is>
      </c>
      <c r="K15" s="4" t="inlineStr"/>
      <c r="L15" s="3" t="n">
        <v>20</v>
      </c>
      <c r="M15" s="6" t="inlineStr"/>
    </row>
    <row r="16">
      <c r="A16" s="2" t="inlineStr">
        <is>
          <t>Tutorial</t>
        </is>
      </c>
      <c r="B16" s="2" t="inlineStr">
        <is>
          <t>Tutorial</t>
        </is>
      </c>
      <c r="C16" s="3" t="n">
        <v>15</v>
      </c>
      <c r="D16" s="4" t="inlineStr">
        <is>
          <t>void</t>
        </is>
      </c>
      <c r="E16" s="5" t="inlineStr">
        <is>
          <t>VOID!</t>
        </is>
      </c>
      <c r="F16" s="6" t="inlineStr">
        <is>
          <t>_take every prime away_</t>
        </is>
      </c>
      <c r="G16" s="6" t="inlineStr">
        <is>
          <t>Deselect every prime.</t>
        </is>
      </c>
      <c r="H16" s="6" t="inlineStr">
        <is>
          <t>nothing</t>
        </is>
      </c>
      <c r="I16" s="3" t="n">
        <v>0</v>
      </c>
      <c r="J16" s="6" t="inlineStr">
        <is>
          <t>Turn off every prime and two numbers are left: 0 and 1. They are the only ones not built out of primes.</t>
        </is>
      </c>
      <c r="K16" s="4" t="inlineStr"/>
      <c r="L16" s="3" t="n">
        <v>20</v>
      </c>
      <c r="M16" s="6" t="inlineStr"/>
    </row>
    <row r="17">
      <c r="A17" s="2" t="inlineStr">
        <is>
          <t>Tutorial</t>
        </is>
      </c>
      <c r="B17" s="2" t="inlineStr">
        <is>
          <t>Tutorial</t>
        </is>
      </c>
      <c r="C17" s="3" t="n">
        <v>16</v>
      </c>
      <c r="D17" s="4" t="inlineStr">
        <is>
          <t>empty-set</t>
        </is>
      </c>
      <c r="E17" s="5" t="inlineStr">
        <is>
          <t>EMPTY SET!</t>
        </is>
      </c>
      <c r="F17" s="6" t="inlineStr">
        <is>
          <t>_then take away what was left_</t>
        </is>
      </c>
      <c r="G17" s="6" t="inlineStr">
        <is>
          <t>Deselect every prime and switch off both 0 and 1.</t>
        </is>
      </c>
      <c r="H17" s="6" t="n">
        <v>86</v>
      </c>
      <c r="I17" s="3" t="n">
        <v>1</v>
      </c>
      <c r="J17" s="6" t="inlineStr">
        <is>
          <t xml:space="preserve">(empty set symbol). Not zero, nothing. Null. Zilch. </t>
        </is>
      </c>
      <c r="K17" s="4" t="inlineStr"/>
      <c r="L17" s="3" t="n">
        <v>20</v>
      </c>
      <c r="M17" s="6" t="inlineStr"/>
    </row>
    <row r="18">
      <c r="A18" s="7" t="inlineStr">
        <is>
          <t>Math</t>
        </is>
      </c>
      <c r="B18" s="7" t="inlineStr">
        <is>
          <t>Series</t>
        </is>
      </c>
      <c r="C18" s="3" t="n"/>
      <c r="D18" s="4" t="inlineStr">
        <is>
          <t>fibonacci</t>
        </is>
      </c>
      <c r="E18" s="5" t="inlineStr">
        <is>
          <t>FIBONACCI!</t>
        </is>
      </c>
      <c r="F18" s="6" t="inlineStr">
        <is>
          <t>_how nature counts_</t>
        </is>
      </c>
      <c r="G18" s="6" t="inlineStr">
        <is>
          <t>Select exactly the five Fibonacci primes and nothing else.</t>
        </is>
      </c>
      <c r="H18" s="6" t="inlineStr">
        <is>
          <t>Fibonacci numbers to 987</t>
        </is>
      </c>
      <c r="I18" s="3" t="n">
        <v>14</v>
      </c>
      <c r="J18" s="6" t="inlineStr">
        <is>
          <t>The Fibonacci numbers are 1, 1, 2, 3, 5, 8, 13, 21 and so on. Add the last two to get the next. Can be found on the spirals of a pinecone.</t>
        </is>
      </c>
      <c r="K18" s="4" t="inlineStr"/>
      <c r="L18" s="3" t="n">
        <v>20</v>
      </c>
      <c r="M18" s="6" t="inlineStr"/>
    </row>
    <row r="19">
      <c r="A19" s="7" t="inlineStr">
        <is>
          <t>Math</t>
        </is>
      </c>
      <c r="B19" s="7" t="inlineStr">
        <is>
          <t>Series</t>
        </is>
      </c>
      <c r="C19" s="3" t="n"/>
      <c r="D19" s="4" t="inlineStr">
        <is>
          <t>lucas</t>
        </is>
      </c>
      <c r="E19" s="5" t="inlineStr">
        <is>
          <t>LUCAS!</t>
        </is>
      </c>
      <c r="F19" s="6" t="inlineStr">
        <is>
          <t>_fibonacci, but different_</t>
        </is>
      </c>
      <c r="G19" s="6" t="inlineStr">
        <is>
          <t>Select exactly 2, 3, 7, 11, 29 and 47.</t>
        </is>
      </c>
      <c r="H19" s="6" t="inlineStr">
        <is>
          <t>Lucas numbers to 843</t>
        </is>
      </c>
      <c r="I19" s="3" t="n">
        <v>14</v>
      </c>
      <c r="J19" s="6" t="inlineStr">
        <is>
          <t>The Lucas numbers follow the same rule as the Fibonacci numbers -- add the last two to get the next -- but start 2, 1 instead of 1, 1. You get a completely different sequence that still grows at the golden ratio. The two are twins: change only where you begin.</t>
        </is>
      </c>
      <c r="K19" s="4" t="inlineStr"/>
      <c r="L19" s="3" t="n">
        <v>20</v>
      </c>
      <c r="M19" s="6" t="inlineStr"/>
    </row>
    <row r="20">
      <c r="A20" s="7" t="inlineStr">
        <is>
          <t>Math</t>
        </is>
      </c>
      <c r="B20" s="7" t="inlineStr">
        <is>
          <t>Series</t>
        </is>
      </c>
      <c r="C20" s="3" t="n"/>
      <c r="D20" s="4" t="inlineStr">
        <is>
          <t>perfect</t>
        </is>
      </c>
      <c r="E20" s="5" t="inlineStr">
        <is>
          <t>PERFECT!</t>
        </is>
      </c>
      <c r="F20" s="6" t="inlineStr">
        <is>
          <t>_equal to the sum of its parts_</t>
        </is>
      </c>
      <c r="G20" s="6" t="inlineStr">
        <is>
          <t>Select exactly 2, 3, 7 and 31.</t>
        </is>
      </c>
      <c r="H20" s="6" t="inlineStr">
        <is>
          <t>2, 3, 7, 31, 6, 28, 496</t>
        </is>
      </c>
      <c r="I20" s="3" t="n">
        <v>7</v>
      </c>
      <c r="J20" s="6" t="inlineStr">
        <is>
          <t>A perfect number equals the sum of its proper divisors: 6 = 1+2+3, and 28 = 1+2+4+7+14. Euclid proved that 2^(p-1)(2^p - 1) is perfect whenever 2^p - 1 is prime, and Euler proved every even perfect number has that form. So each one is built from a Mersenne prime: 6 = 2x3, 28 = 4x7, 496 = 16x31. Only three exist below 1000; the next is 8128. Whether any odd perfect number exists is still open after two thousand years.</t>
        </is>
      </c>
      <c r="K20" s="4" t="inlineStr"/>
      <c r="L20" s="3" t="n">
        <v>20</v>
      </c>
      <c r="M20" s="6" t="inlineStr"/>
    </row>
    <row r="21">
      <c r="A21" s="7" t="inlineStr">
        <is>
          <t>Math</t>
        </is>
      </c>
      <c r="B21" s="7" t="inlineStr">
        <is>
          <t>Primes</t>
        </is>
      </c>
      <c r="C21" s="3" t="n"/>
      <c r="D21" s="4" t="inlineStr">
        <is>
          <t>twinning</t>
        </is>
      </c>
      <c r="E21" s="5" t="inlineStr">
        <is>
          <t>TWINNING!</t>
        </is>
      </c>
      <c r="F21" s="6" t="inlineStr">
        <is>
          <t>_one even number between them_</t>
        </is>
      </c>
      <c r="G21" s="6" t="inlineStr">
        <is>
          <t>Select exactly two primes that differ by 2.</t>
        </is>
      </c>
      <c r="H21" s="6" t="inlineStr">
        <is>
          <t>all twin primes to 1000</t>
        </is>
      </c>
      <c r="I21" s="3" t="n">
        <v>69</v>
      </c>
      <c r="J21" s="6" t="inlineStr">
        <is>
          <t>Twin primes are only 2 apart, like 11 and 13. Nobody knows whether they ever stop. People have been trying to find out since 1849.</t>
        </is>
      </c>
      <c r="K21" s="4" t="inlineStr"/>
      <c r="L21" s="3" t="n">
        <v>20</v>
      </c>
      <c r="M21" s="6" t="inlineStr"/>
    </row>
    <row r="22">
      <c r="A22" s="7" t="inlineStr">
        <is>
          <t>Math</t>
        </is>
      </c>
      <c r="B22" s="7" t="inlineStr">
        <is>
          <t>Primes</t>
        </is>
      </c>
      <c r="C22" s="3" t="n"/>
      <c r="D22" s="4" t="inlineStr">
        <is>
          <t>cousins</t>
        </is>
      </c>
      <c r="E22" s="5" t="inlineStr">
        <is>
          <t>COUSINS!</t>
        </is>
      </c>
      <c r="F22" s="6" t="inlineStr">
        <is>
          <t>_four apart_</t>
        </is>
      </c>
      <c r="G22" s="6" t="inlineStr">
        <is>
          <t>Select exactly two primes that differ by 4.</t>
        </is>
      </c>
      <c r="H22" s="6" t="inlineStr">
        <is>
          <t>all cousin primes to 1000</t>
        </is>
      </c>
      <c r="I22" s="3" t="n">
        <v>81</v>
      </c>
      <c r="J22" s="6" t="inlineStr">
        <is>
          <t>Primes 4 apart are called cousins. That is the real name.</t>
        </is>
      </c>
      <c r="K22" s="4" t="inlineStr"/>
      <c r="L22" s="3" t="n">
        <v>20</v>
      </c>
      <c r="M22" s="6" t="inlineStr"/>
    </row>
    <row r="23">
      <c r="A23" s="7" t="inlineStr">
        <is>
          <t>Math</t>
        </is>
      </c>
      <c r="B23" s="7" t="inlineStr">
        <is>
          <t>Primes</t>
        </is>
      </c>
      <c r="C23" s="3" t="n"/>
      <c r="D23" s="4" t="inlineStr">
        <is>
          <t>sexy</t>
        </is>
      </c>
      <c r="E23" s="5" t="inlineStr">
        <is>
          <t>SEXY!</t>
        </is>
      </c>
      <c r="F23" s="6" t="inlineStr">
        <is>
          <t>_six apart, and that is the real name_</t>
        </is>
      </c>
      <c r="G23" s="6" t="inlineStr">
        <is>
          <t>Select exactly two primes that differ by 6.</t>
        </is>
      </c>
      <c r="H23" s="6" t="inlineStr">
        <is>
          <t>all sexy primes to 1000</t>
        </is>
      </c>
      <c r="I23" s="3" t="n">
        <v>120</v>
      </c>
      <c r="J23" s="6" t="inlineStr">
        <is>
          <t>Primes 6 apart are called sexy primes. Sex is Latin for six. Mathematicians named these and nobody stopped them.</t>
        </is>
      </c>
      <c r="K23" s="4" t="inlineStr"/>
      <c r="L23" s="3" t="n">
        <v>20</v>
      </c>
      <c r="M23" s="6" t="inlineStr"/>
    </row>
    <row r="24">
      <c r="A24" s="7" t="inlineStr">
        <is>
          <t>Math</t>
        </is>
      </c>
      <c r="B24" s="7" t="inlineStr">
        <is>
          <t>Primes</t>
        </is>
      </c>
      <c r="C24" s="3" t="n"/>
      <c r="D24" s="4" t="inlineStr">
        <is>
          <t>germain</t>
        </is>
      </c>
      <c r="E24" s="5" t="inlineStr">
        <is>
          <t>GERMAIN!</t>
        </is>
      </c>
      <c r="F24" s="6" t="inlineStr">
        <is>
          <t>_double it, add one_</t>
        </is>
      </c>
      <c r="G24" s="6" t="inlineStr">
        <is>
          <t>Select exactly two primes p and q where q = 2p+1.</t>
        </is>
      </c>
      <c r="H24" s="6" t="inlineStr">
        <is>
          <t>all Sophie Germain primes to 1000</t>
        </is>
      </c>
      <c r="I24" s="3" t="n">
        <v>37</v>
      </c>
      <c r="J24" s="6" t="inlineStr">
        <is>
          <t>Pick a prime, double it, add 1. If that is prime too, the first one is a Sophie Germain prime. Sophie Germain had to sign her work with a man's name to get anyone to read it.</t>
        </is>
      </c>
      <c r="K24" s="4" t="inlineStr"/>
      <c r="L24" s="3" t="n">
        <v>20</v>
      </c>
      <c r="M24" s="6" t="inlineStr"/>
    </row>
    <row r="25">
      <c r="A25" s="7" t="inlineStr">
        <is>
          <t>Math</t>
        </is>
      </c>
      <c r="B25" s="7" t="inlineStr">
        <is>
          <t>Primes</t>
        </is>
      </c>
      <c r="C25" s="3" t="n"/>
      <c r="D25" s="4" t="inlineStr">
        <is>
          <t>emirp</t>
        </is>
      </c>
      <c r="E25" s="5" t="inlineStr">
        <is>
          <t>EMIRP!</t>
        </is>
      </c>
      <c r="F25" s="6" t="inlineStr">
        <is>
          <t>_read it the other way_</t>
        </is>
      </c>
      <c r="G25" s="6" t="inlineStr">
        <is>
          <t>Select exactly two primes that are each other's digit reversal.</t>
        </is>
      </c>
      <c r="H25" s="6" t="inlineStr">
        <is>
          <t>all emirps to 1000</t>
        </is>
      </c>
      <c r="I25" s="3" t="n">
        <v>36</v>
      </c>
      <c r="J25" s="6" t="inlineStr">
        <is>
          <t>Write a prime backwards. If you get a different prime, it is an emirp -- which is 'prime' spelled backwards. There are four pairs in the grid: 13 and 31, 17 and 71, 37 and 73, 79 and 97.</t>
        </is>
      </c>
      <c r="K25" s="4" t="inlineStr"/>
      <c r="L25" s="3" t="n">
        <v>20</v>
      </c>
      <c r="M25" s="6" t="inlineStr"/>
    </row>
    <row r="26">
      <c r="A26" s="7" t="inlineStr">
        <is>
          <t>Math</t>
        </is>
      </c>
      <c r="B26" s="7" t="inlineStr">
        <is>
          <t>Primes</t>
        </is>
      </c>
      <c r="C26" s="3" t="n"/>
      <c r="D26" s="4" t="inlineStr">
        <is>
          <t>mersenne</t>
        </is>
      </c>
      <c r="E26" s="5" t="inlineStr">
        <is>
          <t>MERSENNE!</t>
        </is>
      </c>
      <c r="F26" s="6" t="inlineStr">
        <is>
          <t>_one less than a power of two_</t>
        </is>
      </c>
      <c r="G26" s="6" t="inlineStr">
        <is>
          <t>Select exactly 3, 7, 31 and 127.</t>
        </is>
      </c>
      <c r="H26" s="6" t="inlineStr">
        <is>
          <t>3, 7, 31, 127</t>
        </is>
      </c>
      <c r="I26" s="3" t="n">
        <v>4</v>
      </c>
      <c r="J26" s="6" t="inlineStr">
        <is>
          <t>Take a power of two and subtract one: 4-1 = 3, 8-1 = 7, 32-1 = 31, 128-1 = 127. When the result is prime it is called a Mersenne prime, and the exponent has to be prime for it to work at all. All four that fit in this grid are here. Every even perfect number is built from one of them.</t>
        </is>
      </c>
      <c r="K26" s="4" t="inlineStr"/>
      <c r="L26" s="3" t="n">
        <v>20</v>
      </c>
      <c r="M26" s="6" t="inlineStr"/>
    </row>
    <row r="27">
      <c r="A27" s="7" t="inlineStr">
        <is>
          <t>Math</t>
        </is>
      </c>
      <c r="B27" s="7" t="inlineStr">
        <is>
          <t>Primes</t>
        </is>
      </c>
      <c r="C27" s="3" t="n"/>
      <c r="D27" s="4" t="inlineStr">
        <is>
          <t>fermat</t>
        </is>
      </c>
      <c r="E27" s="5" t="inlineStr">
        <is>
          <t>FERMAT!</t>
        </is>
      </c>
      <c r="F27" s="6" t="inlineStr">
        <is>
          <t>_one more than a power of two_</t>
        </is>
      </c>
      <c r="G27" s="6" t="inlineStr">
        <is>
          <t>Select exactly 3, 5 and 17.</t>
        </is>
      </c>
      <c r="H27" s="6" t="inlineStr">
        <is>
          <t>3, 5, 17, 255, 257</t>
        </is>
      </c>
      <c r="I27" s="3" t="n">
        <v>5</v>
      </c>
      <c r="J27" s="6" t="inlineStr">
        <is>
          <t>3, 5 and 17 are each one more than a power of two: 2+1, 4+1, 16+1. Fermat believed every number of that shape was prime.</t>
        </is>
      </c>
      <c r="K27" s="4" t="inlineStr"/>
      <c r="L27" s="3" t="n">
        <v>20</v>
      </c>
      <c r="M27" s="6" t="inlineStr"/>
    </row>
    <row r="28">
      <c r="A28" s="7" t="inlineStr">
        <is>
          <t>Math</t>
        </is>
      </c>
      <c r="B28" s="7" t="inlineStr">
        <is>
          <t>Primes</t>
        </is>
      </c>
      <c r="C28" s="3" t="n"/>
      <c r="D28" s="4" t="inlineStr">
        <is>
          <t>neat</t>
        </is>
      </c>
      <c r="E28" s="5" t="inlineStr">
        <is>
          <t>NEAT!</t>
        </is>
      </c>
      <c r="F28" s="6" t="inlineStr">
        <is>
          <t>_almost a straight line_</t>
        </is>
      </c>
      <c r="G28" s="6" t="inlineStr">
        <is>
          <t>Two primes selected, one of them 89, with the range at least 178.</t>
        </is>
      </c>
      <c r="H28" s="6" t="inlineStr">
        <is>
          <t>89 and its parastichy line</t>
        </is>
      </c>
      <c r="I28" s="3" t="n">
        <v>1</v>
      </c>
      <c r="J28" s="6" t="inlineStr">
        <is>
          <t>Each node sits a little further round the circle than the one before. Turn that far 89 times and you land almost exactly back where you started. So the multiples of 89 stack up in a nearly straight line -- the only spoke in the whole figure.</t>
        </is>
      </c>
      <c r="K28" s="4" t="inlineStr"/>
      <c r="L28" s="3" t="n">
        <v>20</v>
      </c>
      <c r="M28" s="6" t="inlineStr"/>
    </row>
    <row r="29">
      <c r="A29" s="7" t="inlineStr">
        <is>
          <t>Math</t>
        </is>
      </c>
      <c r="B29" s="7" t="inlineStr">
        <is>
          <t>Primes</t>
        </is>
      </c>
      <c r="C29" s="3" t="n"/>
      <c r="D29" s="4" t="inlineStr">
        <is>
          <t>louder</t>
        </is>
      </c>
      <c r="E29" s="5" t="inlineStr">
        <is>
          <t>LOUDER!</t>
        </is>
      </c>
      <c r="F29" s="6" t="inlineStr">
        <is>
          <t>_these ones go to_</t>
        </is>
      </c>
      <c r="G29" s="6" t="inlineStr">
        <is>
          <t>Select exactly 11.</t>
        </is>
      </c>
      <c r="H29" s="6" t="inlineStr">
        <is>
          <t>11</t>
        </is>
      </c>
      <c r="I29" s="3" t="n">
        <v>1</v>
      </c>
      <c r="J29" s="6" t="n"/>
      <c r="K29" s="4" t="inlineStr"/>
      <c r="L29" s="3" t="n">
        <v>20</v>
      </c>
      <c r="M29" s="6" t="inlineStr"/>
    </row>
    <row r="30">
      <c r="A30" s="7" t="inlineStr">
        <is>
          <t>Math</t>
        </is>
      </c>
      <c r="B30" s="7" t="inlineStr">
        <is>
          <t>Primes</t>
        </is>
      </c>
      <c r="C30" s="3" t="n"/>
      <c r="D30" s="4" t="inlineStr">
        <is>
          <t>smart</t>
        </is>
      </c>
      <c r="E30" s="5" t="inlineStr">
        <is>
          <t>SMART!</t>
        </is>
      </c>
      <c r="F30" s="6" t="inlineStr">
        <is>
          <t>_intro class_</t>
        </is>
      </c>
      <c r="G30" s="6" t="inlineStr">
        <is>
          <t>Select exactly 101 and view it through the classroom lens.</t>
        </is>
      </c>
      <c r="H30" s="6" t="inlineStr">
        <is>
          <t>101</t>
        </is>
      </c>
      <c r="I30" s="3" t="n">
        <v>1</v>
      </c>
      <c r="J30" s="6" t="inlineStr">
        <is>
          <t>101 reads the same forwards and backwards. It is the smallest three-digit prime.</t>
        </is>
      </c>
      <c r="K30" s="4" t="inlineStr"/>
      <c r="L30" s="3" t="n">
        <v>20</v>
      </c>
      <c r="M30" s="6" t="inlineStr"/>
    </row>
    <row r="31">
      <c r="A31" s="7" t="inlineStr">
        <is>
          <t>Math</t>
        </is>
      </c>
      <c r="B31" s="7" t="inlineStr">
        <is>
          <t>Primes</t>
        </is>
      </c>
      <c r="C31" s="3" t="n"/>
      <c r="D31" s="4" t="inlineStr">
        <is>
          <t>balanced</t>
        </is>
      </c>
      <c r="E31" s="5" t="inlineStr">
        <is>
          <t>BALANCED!</t>
        </is>
      </c>
      <c r="F31" s="6" t="inlineStr">
        <is>
          <t>_exactly halfway between its neighbours_</t>
        </is>
      </c>
      <c r="G31" s="6" t="inlineStr">
        <is>
          <t>Select exactly 5 and 53.</t>
        </is>
      </c>
      <c r="H31" s="6" t="inlineStr">
        <is>
          <t>5, 53</t>
        </is>
      </c>
      <c r="I31" s="3" t="n">
        <v>2</v>
      </c>
      <c r="J31" s="6" t="inlineStr">
        <is>
          <t>5 sits exactly halfway between 3 and 7. 53 sits exactly halfway between 47 and 59. They are the only two primes in this grid that are the average of the primes on either side of them -- everywhere else the gap in front and the gap behind are different sizes.</t>
        </is>
      </c>
      <c r="K31" s="4" t="inlineStr"/>
      <c r="L31" s="3" t="n">
        <v>20</v>
      </c>
      <c r="M31" s="6" t="inlineStr"/>
    </row>
    <row r="32">
      <c r="A32" s="7" t="inlineStr">
        <is>
          <t>Math</t>
        </is>
      </c>
      <c r="B32" s="7" t="inlineStr">
        <is>
          <t>Primes</t>
        </is>
      </c>
      <c r="C32" s="3" t="n"/>
      <c r="D32" s="4" t="inlineStr">
        <is>
          <t>stride</t>
        </is>
      </c>
      <c r="E32" s="5" t="inlineStr">
        <is>
          <t>STRIDE!</t>
        </is>
      </c>
      <c r="F32" s="6" t="inlineStr">
        <is>
          <t>_the widest step_</t>
        </is>
      </c>
      <c r="G32" s="6" t="inlineStr">
        <is>
          <t>Select exactly 113 and 127.</t>
        </is>
      </c>
      <c r="H32" s="6" t="inlineStr">
        <is>
          <t>113, 127</t>
        </is>
      </c>
      <c r="I32" s="3" t="n">
        <v>2</v>
      </c>
      <c r="J32" s="6" t="inlineStr">
        <is>
          <t>After 113 the next prime is 127. Fourteen numbers in a row with nothing prime among them, the widest gap anywhere in this grid. Gaps grow without limit, and you can force one as long as you like: take any n, and n!+2, n!+3, all the way to n!+n are every one of them composite, because n!+k always has k as a factor.</t>
        </is>
      </c>
      <c r="K32" s="4" t="inlineStr"/>
      <c r="L32" s="3" t="n">
        <v>20</v>
      </c>
      <c r="M32" s="6" t="inlineStr"/>
    </row>
    <row r="33">
      <c r="A33" s="7" t="inlineStr">
        <is>
          <t>Math</t>
        </is>
      </c>
      <c r="B33" s="7" t="inlineStr">
        <is>
          <t>Primes</t>
        </is>
      </c>
      <c r="C33" s="3" t="n"/>
      <c r="D33" s="4" t="inlineStr">
        <is>
          <t>all-prime</t>
        </is>
      </c>
      <c r="E33" s="8" t="inlineStr">
        <is>
          <t>PRIME DIGITS!</t>
        </is>
      </c>
      <c r="F33" s="6" t="inlineStr">
        <is>
          <t>_every digit too_</t>
        </is>
      </c>
      <c r="G33" s="6" t="inlineStr">
        <is>
          <t>Select exactly 2, 3, 5, 7, 23, 37, 53 and 73.</t>
        </is>
      </c>
      <c r="H33" s="6" t="inlineStr">
        <is>
          <t>2, 3, 5, 7, 23, 37, 53, 73</t>
        </is>
      </c>
      <c r="I33" s="3" t="n">
        <v>8</v>
      </c>
      <c r="J33" s="6" t="inlineStr">
        <is>
          <t>2, 3, 5 and 7 are the prime digits. Eight primes in this grid are written with nothing else. Worth noticing that this is a fact about writing in base ten rather than about the numbers themselves -- change base and the set dissolves.</t>
        </is>
      </c>
      <c r="K33" s="9" t="inlineStr">
        <is>
          <t>renamed v4</t>
        </is>
      </c>
      <c r="L33" s="3" t="n">
        <v>20</v>
      </c>
      <c r="M33" s="6" t="inlineStr">
        <is>
          <t>'super-prime' already means a prime at a prime INDEX -- a different set. Renamed; the real one is now its own row.</t>
        </is>
      </c>
    </row>
    <row r="34">
      <c r="A34" s="7" t="inlineStr">
        <is>
          <t>Math</t>
        </is>
      </c>
      <c r="B34" s="7" t="inlineStr">
        <is>
          <t>Primes</t>
        </is>
      </c>
      <c r="C34" s="3" t="inlineStr"/>
      <c r="D34" s="4" t="inlineStr">
        <is>
          <t>super-prime</t>
        </is>
      </c>
      <c r="E34" s="8" t="inlineStr">
        <is>
          <t>SUPERPRIME!</t>
        </is>
      </c>
      <c r="F34" s="6" t="inlineStr">
        <is>
          <t>_count the primes and land on one_</t>
        </is>
      </c>
      <c r="G34" s="6" t="inlineStr">
        <is>
          <t>Select exactly 3, 5, 11, 17, 31, 41, 59, 67, 83, 109 and 127.</t>
        </is>
      </c>
      <c r="H34" s="6" t="inlineStr">
        <is>
          <t>3, 5, 11, 17, 31, 41, 59, 67, 83, 109, 127</t>
        </is>
      </c>
      <c r="I34" s="3" t="n">
        <v>11</v>
      </c>
      <c r="J34" s="6" t="inlineStr">
        <is>
          <t>2 is the 1st prime, 3 is the 2nd, 5 is the 3rd, 7 is the 4th. Now ask which primes sit at a prime position -- the 2nd, the 3rd, the 5th, the 7th, and so on. You get 3, 5, 11, 17, 31, 41, 59, 67, 83, 109 and 127. Primes counted by primes, and you can do the whole thing by counting along the panel.</t>
        </is>
      </c>
      <c r="K34" s="9" t="inlineStr">
        <is>
          <t>new v4</t>
        </is>
      </c>
      <c r="L34" s="3" t="n">
        <v>20</v>
      </c>
      <c r="M34" s="6" t="inlineStr">
        <is>
          <t>eleven taps -- the longest selection in the design. Trim to the first few if that is too much.</t>
        </is>
      </c>
    </row>
    <row r="35">
      <c r="A35" s="7" t="inlineStr">
        <is>
          <t>Math</t>
        </is>
      </c>
      <c r="B35" s="7" t="inlineStr">
        <is>
          <t>Puzzles</t>
        </is>
      </c>
      <c r="C35" s="3" t="n"/>
      <c r="D35" s="4" t="inlineStr">
        <is>
          <t>sixes</t>
        </is>
      </c>
      <c r="E35" s="5" t="inlineStr">
        <is>
          <t>SIXES!</t>
        </is>
      </c>
      <c r="F35" s="6" t="inlineStr">
        <is>
          <t>_every prime hides beside one_</t>
        </is>
      </c>
      <c r="G35" s="6" t="inlineStr">
        <is>
          <t>Select exactly 2 and 3.</t>
        </is>
      </c>
      <c r="H35" s="6" t="inlineStr">
        <is>
          <t>6 -- see note</t>
        </is>
      </c>
      <c r="I35" s="3" t="n">
        <v>1</v>
      </c>
      <c r="J35" s="6" t="inlineStr">
        <is>
          <t>Every prime bigger than 3 is one away from a multiple of six. Look at the six numbers around any multiple of six: four of them are divisible by 2 or by 3, so only the two neighbours are left standing. Light up 2 and 3 and you can watch it happen -- every prime left on the board is sitting next to something lit.</t>
        </is>
      </c>
      <c r="K35" s="4" t="inlineStr"/>
      <c r="L35" s="3" t="n">
        <v>20</v>
      </c>
      <c r="M35" s="6" t="inlineStr"/>
    </row>
    <row r="36">
      <c r="A36" s="7" t="inlineStr">
        <is>
          <t>Math</t>
        </is>
      </c>
      <c r="B36" s="7" t="inlineStr">
        <is>
          <t>Puzzles</t>
        </is>
      </c>
      <c r="C36" s="3" t="n"/>
      <c r="D36" s="4" t="inlineStr">
        <is>
          <t>goldbach</t>
        </is>
      </c>
      <c r="E36" s="5" t="inlineStr">
        <is>
          <t>GOLDBACH!</t>
        </is>
      </c>
      <c r="F36" s="6" t="inlineStr">
        <is>
          <t>_two make an even_</t>
        </is>
      </c>
      <c r="G36" s="6" t="inlineStr">
        <is>
          <t>With the range set to an even number, select exactly two primes that add up to it.</t>
        </is>
      </c>
      <c r="H36" s="6" t="inlineStr">
        <is>
          <t>the two primes and their sum</t>
        </is>
      </c>
      <c r="I36" s="3" t="n">
        <v>3</v>
      </c>
      <c r="J36" s="6" t="inlineStr">
        <is>
          <t>Every even number bigger than 2 seems to be the sum of two primes. 100 = 3 + 97. 232 = 101 + 131. Nobody has ever found an exception, and nobody has ever proved there isn't one -- it has been open since 1742. Eighteen of the even numbers you can reach here have exactly one answer.</t>
        </is>
      </c>
      <c r="K36" s="4" t="inlineStr"/>
      <c r="L36" s="3" t="n">
        <v>20</v>
      </c>
      <c r="M36" s="6" t="inlineStr"/>
    </row>
    <row r="37">
      <c r="A37" s="7" t="inlineStr">
        <is>
          <t>Math</t>
        </is>
      </c>
      <c r="B37" s="7" t="inlineStr">
        <is>
          <t>Puzzles</t>
        </is>
      </c>
      <c r="C37" s="3" t="n"/>
      <c r="D37" s="4" t="inlineStr">
        <is>
          <t>collatz</t>
        </is>
      </c>
      <c r="E37" s="5" t="inlineStr">
        <is>
          <t>COLLATZ!</t>
        </is>
      </c>
      <c r="F37" s="6" t="inlineStr">
        <is>
          <t>_the long way down_</t>
        </is>
      </c>
      <c r="G37" s="6" t="inlineStr">
        <is>
          <t>Select exactly 13 and 67.</t>
        </is>
      </c>
      <c r="H37" s="6" t="inlineStr">
        <is>
          <t>871</t>
        </is>
      </c>
      <c r="I37" s="3" t="n">
        <v>1</v>
      </c>
      <c r="J37" s="6" t="inlineStr">
        <is>
          <t>Take any number. If it is even, halve it. If it is odd, triple it and add one. Repeat. Everything anyone has ever tried falls to 1 eventually, and nobody can prove it always will. 871 takes 178 steps to get there, the longest of anything under a thousand.</t>
        </is>
      </c>
      <c r="K37" s="4" t="inlineStr"/>
      <c r="L37" s="3" t="n">
        <v>20</v>
      </c>
      <c r="M37" s="6" t="inlineStr"/>
    </row>
    <row r="38">
      <c r="A38" s="7" t="inlineStr">
        <is>
          <t>Math</t>
        </is>
      </c>
      <c r="B38" s="7" t="inlineStr">
        <is>
          <t>Puzzles</t>
        </is>
      </c>
      <c r="C38" s="3" t="n"/>
      <c r="D38" s="4" t="inlineStr">
        <is>
          <t>run</t>
        </is>
      </c>
      <c r="E38" s="5" t="inlineStr">
        <is>
          <t>RUN!</t>
        </is>
      </c>
      <c r="F38" s="6" t="inlineStr">
        <is>
          <t>_a run of them adds up to another_</t>
        </is>
      </c>
      <c r="G38" s="6" t="inlineStr">
        <is>
          <t>Select three or more primes in a row together with the prime they add up to.</t>
        </is>
      </c>
      <c r="H38" s="6" t="inlineStr">
        <is>
          <t>the run and its total</t>
        </is>
      </c>
      <c r="I38" s="3" t="n">
        <v>0</v>
      </c>
      <c r="J38" s="6" t="inlineStr">
        <is>
          <t>Primes standing next to each other can add up to another prime. 17 = 2+3+5+7. 41 = 11+13+17. And 127 = 3+5+7+11+13+17+19+23+29, a run of nine. There are sixteen of these to find in the grid if you use at least three in a row.</t>
        </is>
      </c>
      <c r="K38" s="4" t="inlineStr"/>
      <c r="L38" s="3" t="n">
        <v>20</v>
      </c>
      <c r="M38" s="6" t="inlineStr"/>
    </row>
    <row r="39">
      <c r="A39" s="7" t="inlineStr">
        <is>
          <t>Math</t>
        </is>
      </c>
      <c r="B39" s="7" t="inlineStr">
        <is>
          <t>Puzzles</t>
        </is>
      </c>
      <c r="C39" s="3" t="n"/>
      <c r="D39" s="4" t="inlineStr">
        <is>
          <t>stairs</t>
        </is>
      </c>
      <c r="E39" s="5" t="inlineStr">
        <is>
          <t>STAIRS!</t>
        </is>
      </c>
      <c r="F39" s="6" t="inlineStr">
        <is>
          <t>_three evenly spaced_</t>
        </is>
      </c>
      <c r="G39" s="6" t="inlineStr">
        <is>
          <t>Select exactly three primes that are evenly spaced.</t>
        </is>
      </c>
      <c r="H39" s="6" t="inlineStr">
        <is>
          <t>3, 5, 7</t>
        </is>
      </c>
      <c r="I39" s="3" t="n">
        <v>3</v>
      </c>
      <c r="J39" s="6" t="inlineStr">
        <is>
          <t>3, 5 and 7 climb in equal steps of two, and they are the only three primes in a row that ever can be -- take any three odd numbers two apart and one of them is always a multiple of 3. Evenly spaced runs of primes do exist at every length, though, and that they go on forever was only proved in 2004.</t>
        </is>
      </c>
      <c r="K39" s="4" t="inlineStr"/>
      <c r="L39" s="3" t="n">
        <v>20</v>
      </c>
      <c r="M39" s="6" t="inlineStr"/>
    </row>
    <row r="40">
      <c r="A40" s="7" t="inlineStr">
        <is>
          <t>Math</t>
        </is>
      </c>
      <c r="B40" s="7" t="inlineStr">
        <is>
          <t>Puzzles</t>
        </is>
      </c>
      <c r="C40" s="3" t="n"/>
      <c r="D40" s="4" t="inlineStr">
        <is>
          <t>square-up</t>
        </is>
      </c>
      <c r="E40" s="5" t="inlineStr">
        <is>
          <t>SQUARE UP!</t>
        </is>
      </c>
      <c r="F40" s="6" t="inlineStr">
        <is>
          <t>_two that add to a square_</t>
        </is>
      </c>
      <c r="G40" s="6" t="inlineStr">
        <is>
          <t>Select exactly two primes that add up to a square number.</t>
        </is>
      </c>
      <c r="H40" s="6" t="inlineStr">
        <is>
          <t>9, 16, 25, 36, 49, 64, 81, 100, 144, 196</t>
        </is>
      </c>
      <c r="I40" s="3" t="n">
        <v>10</v>
      </c>
      <c r="J40" s="6" t="inlineStr">
        <is>
          <t>2 + 7 = 9. 5 + 11 = 16. 13 + 23 = 36. Ten squares can be reached by adding two primes from this grid, and it is worth looking at which. The odd squares -- 9, 25, 49, 81 -- can only be reached when one of your two primes is 2, because every other prime is odd and two odd numbers always add to an even one.</t>
        </is>
      </c>
      <c r="K40" s="4" t="inlineStr"/>
      <c r="L40" s="3" t="n">
        <v>20</v>
      </c>
      <c r="M40" s="6" t="inlineStr"/>
    </row>
    <row r="41">
      <c r="A41" s="10" t="inlineStr">
        <is>
          <t>Culture</t>
        </is>
      </c>
      <c r="B41" s="10" t="inlineStr">
        <is>
          <t>Meme</t>
        </is>
      </c>
      <c r="C41" s="3" t="n"/>
      <c r="D41" s="4" t="inlineStr">
        <is>
          <t>nice</t>
        </is>
      </c>
      <c r="E41" s="5" t="inlineStr">
        <is>
          <t>NICE!</t>
        </is>
      </c>
      <c r="F41" s="6" t="inlineStr">
        <is>
          <t>_nice_</t>
        </is>
      </c>
      <c r="G41" s="6" t="inlineStr">
        <is>
          <t>Select exactly 3 and 23.</t>
        </is>
      </c>
      <c r="H41" s="6" t="inlineStr">
        <is>
          <t>69</t>
        </is>
      </c>
      <c r="I41" s="3" t="n">
        <v>1</v>
      </c>
      <c r="J41" s="6" t="inlineStr">
        <is>
          <t>nice.</t>
        </is>
      </c>
      <c r="K41" s="4" t="inlineStr"/>
      <c r="L41" s="3" t="n">
        <v>20</v>
      </c>
      <c r="M41" s="6" t="inlineStr"/>
    </row>
    <row r="42">
      <c r="A42" s="10" t="inlineStr">
        <is>
          <t>Culture</t>
        </is>
      </c>
      <c r="B42" s="10" t="inlineStr">
        <is>
          <t>Meme</t>
        </is>
      </c>
      <c r="C42" s="3" t="n"/>
      <c r="D42" s="4" t="inlineStr">
        <is>
          <t>dude</t>
        </is>
      </c>
      <c r="E42" s="5" t="inlineStr">
        <is>
          <t>DUDE!</t>
        </is>
      </c>
      <c r="F42" s="6" t="inlineStr">
        <is>
          <t>_what was I saying?_</t>
        </is>
      </c>
      <c r="G42" s="6" t="inlineStr">
        <is>
          <t>Select exactly 2, 3, 5 and 7.</t>
        </is>
      </c>
      <c r="H42" s="6" t="inlineStr">
        <is>
          <t>420</t>
        </is>
      </c>
      <c r="I42" s="3" t="n">
        <v>1</v>
      </c>
      <c r="J42" s="6" t="inlineStr">
        <is>
          <t xml:space="preserve">I'm hungry, you hungry? </t>
        </is>
      </c>
      <c r="K42" s="4" t="inlineStr"/>
      <c r="L42" s="3" t="n">
        <v>20</v>
      </c>
      <c r="M42" s="6" t="inlineStr"/>
    </row>
    <row r="43">
      <c r="A43" s="10" t="inlineStr">
        <is>
          <t>Culture</t>
        </is>
      </c>
      <c r="B43" s="10" t="inlineStr">
        <is>
          <t>Meme</t>
        </is>
      </c>
      <c r="C43" s="3" t="n"/>
      <c r="D43" s="4" t="inlineStr">
        <is>
          <t>meme</t>
        </is>
      </c>
      <c r="E43" s="5" t="inlineStr">
        <is>
          <t>MEME!</t>
        </is>
      </c>
      <c r="F43" s="6" t="inlineStr">
        <is>
          <t>_kids these days_</t>
        </is>
      </c>
      <c r="G43" s="6" t="inlineStr">
        <is>
          <t>Select exactly 67.</t>
        </is>
      </c>
      <c r="H43" s="6" t="inlineStr">
        <is>
          <t>67</t>
        </is>
      </c>
      <c r="I43" s="3" t="n">
        <v>1</v>
      </c>
      <c r="J43" s="6" t="inlineStr">
        <is>
          <t>67 has no twin. Neither 65 nor 69 is prime, so it sits on its own.</t>
        </is>
      </c>
      <c r="K43" s="4" t="inlineStr"/>
      <c r="L43" s="3" t="n">
        <v>20</v>
      </c>
      <c r="M43" s="6" t="inlineStr"/>
    </row>
    <row r="44">
      <c r="A44" s="10" t="inlineStr">
        <is>
          <t>Culture</t>
        </is>
      </c>
      <c r="B44" s="10" t="inlineStr">
        <is>
          <t>Meme</t>
        </is>
      </c>
      <c r="C44" s="3" t="n"/>
      <c r="D44" s="4" t="inlineStr">
        <is>
          <t>oil</t>
        </is>
      </c>
      <c r="E44" s="5" t="inlineStr">
        <is>
          <t>OIL!</t>
        </is>
      </c>
      <c r="F44" s="6" t="inlineStr">
        <is>
          <t>_upside down_</t>
        </is>
      </c>
      <c r="G44" s="6" t="inlineStr">
        <is>
          <t>Select exactly 2, 5 and 71.</t>
        </is>
      </c>
      <c r="H44" s="6" t="inlineStr">
        <is>
          <t>710</t>
        </is>
      </c>
      <c r="I44" s="3" t="n">
        <v>1</v>
      </c>
      <c r="J44" s="6" t="inlineStr">
        <is>
          <t xml:space="preserve">5318008 was out of scope. </t>
        </is>
      </c>
      <c r="K44" s="4" t="inlineStr"/>
      <c r="L44" s="3" t="n">
        <v>20</v>
      </c>
      <c r="M44" s="6" t="inlineStr"/>
    </row>
    <row r="45">
      <c r="A45" s="10" t="inlineStr">
        <is>
          <t>Culture</t>
        </is>
      </c>
      <c r="B45" s="10" t="inlineStr">
        <is>
          <t>Meme</t>
        </is>
      </c>
      <c r="C45" s="3" t="n"/>
      <c r="D45" s="4" t="inlineStr">
        <is>
          <t>catch</t>
        </is>
      </c>
      <c r="E45" s="5" t="inlineStr">
        <is>
          <t>CATCH!</t>
        </is>
      </c>
      <c r="F45" s="6" t="inlineStr">
        <is>
          <t>_damned either way_</t>
        </is>
      </c>
      <c r="G45" s="6" t="inlineStr">
        <is>
          <t>Select exactly 2 and 11.</t>
        </is>
      </c>
      <c r="H45" s="6" t="inlineStr">
        <is>
          <t>22</t>
        </is>
      </c>
      <c r="I45" s="3" t="n">
        <v>1</v>
      </c>
      <c r="J45" s="6" t="n"/>
      <c r="K45" s="4" t="inlineStr"/>
      <c r="L45" s="3" t="n">
        <v>20</v>
      </c>
      <c r="M45" s="6" t="inlineStr"/>
    </row>
    <row r="46">
      <c r="A46" s="10" t="inlineStr">
        <is>
          <t>Culture</t>
        </is>
      </c>
      <c r="B46" s="10" t="inlineStr">
        <is>
          <t>Meme</t>
        </is>
      </c>
      <c r="C46" s="3" t="n"/>
      <c r="D46" s="4" t="inlineStr">
        <is>
          <t>route</t>
        </is>
      </c>
      <c r="E46" s="5" t="inlineStr">
        <is>
          <t>ROUTE!</t>
        </is>
      </c>
      <c r="F46" s="6" t="inlineStr">
        <is>
          <t>_get your kicks_</t>
        </is>
      </c>
      <c r="G46" s="6" t="inlineStr">
        <is>
          <t>Select exactly 2, 3 and 11.</t>
        </is>
      </c>
      <c r="H46" s="6" t="inlineStr">
        <is>
          <t>66</t>
        </is>
      </c>
      <c r="I46" s="3" t="n">
        <v>1</v>
      </c>
      <c r="J46" s="6" t="n"/>
      <c r="K46" s="4" t="inlineStr"/>
      <c r="L46" s="3" t="n">
        <v>20</v>
      </c>
      <c r="M46" s="6" t="inlineStr"/>
    </row>
    <row r="47">
      <c r="A47" s="10" t="inlineStr">
        <is>
          <t>Culture</t>
        </is>
      </c>
      <c r="B47" s="10" t="inlineStr">
        <is>
          <t>Meme</t>
        </is>
      </c>
      <c r="C47" s="3" t="n"/>
      <c r="D47" s="4" t="inlineStr">
        <is>
          <t>cards</t>
        </is>
      </c>
      <c r="E47" s="5" t="inlineStr">
        <is>
          <t>CARDS!</t>
        </is>
      </c>
      <c r="F47" s="6" t="inlineStr">
        <is>
          <t>_hit me_</t>
        </is>
      </c>
      <c r="G47" s="6" t="inlineStr">
        <is>
          <t>Select exactly 3 and 7.</t>
        </is>
      </c>
      <c r="H47" s="6" t="inlineStr">
        <is>
          <t>21</t>
        </is>
      </c>
      <c r="I47" s="3" t="n">
        <v>1</v>
      </c>
      <c r="J47" s="6" t="n"/>
      <c r="K47" s="4" t="inlineStr"/>
      <c r="L47" s="3" t="n">
        <v>20</v>
      </c>
      <c r="M47" s="6" t="inlineStr"/>
    </row>
    <row r="48">
      <c r="A48" s="10" t="inlineStr">
        <is>
          <t>Culture</t>
        </is>
      </c>
      <c r="B48" s="10" t="inlineStr">
        <is>
          <t>Meme</t>
        </is>
      </c>
      <c r="C48" s="3" t="n"/>
      <c r="D48" s="4" t="inlineStr">
        <is>
          <t>jackpot</t>
        </is>
      </c>
      <c r="E48" s="5" t="inlineStr">
        <is>
          <t>JACKPOT!</t>
        </is>
      </c>
      <c r="F48" s="6" t="inlineStr">
        <is>
          <t>_three of a kind_</t>
        </is>
      </c>
      <c r="G48" s="6" t="inlineStr">
        <is>
          <t>Select exactly 3, 7 and 37.</t>
        </is>
      </c>
      <c r="H48" s="6" t="inlineStr">
        <is>
          <t>777</t>
        </is>
      </c>
      <c r="I48" s="3" t="n">
        <v>1</v>
      </c>
      <c r="J48" s="6" t="n"/>
      <c r="K48" s="4" t="inlineStr"/>
      <c r="L48" s="3" t="n">
        <v>20</v>
      </c>
      <c r="M48" s="6" t="inlineStr"/>
    </row>
    <row r="49">
      <c r="A49" s="10" t="inlineStr">
        <is>
          <t>Culture</t>
        </is>
      </c>
      <c r="B49" s="10" t="inlineStr">
        <is>
          <t>Meme</t>
        </is>
      </c>
      <c r="C49" s="3" t="n"/>
      <c r="D49" s="4" t="inlineStr">
        <is>
          <t>heinz</t>
        </is>
      </c>
      <c r="E49" s="5" t="inlineStr">
        <is>
          <t>HEINZ!</t>
        </is>
      </c>
      <c r="F49" s="6" t="inlineStr">
        <is>
          <t>_varieties_</t>
        </is>
      </c>
      <c r="G49" s="6" t="inlineStr">
        <is>
          <t>Select exactly 3 and 19.</t>
        </is>
      </c>
      <c r="H49" s="6" t="inlineStr">
        <is>
          <t>57</t>
        </is>
      </c>
      <c r="I49" s="3" t="n">
        <v>1</v>
      </c>
      <c r="J49" s="6" t="inlineStr">
        <is>
          <t>57 varieties, yes. But 57 is also the Grothendieck prime: one of the greatest mathematicians of the century, asked for an example of a prime number, said 57. It is not one, and here you can watch it come apart into 3 x 19.</t>
        </is>
      </c>
      <c r="K49" s="4" t="inlineStr"/>
      <c r="L49" s="3" t="n">
        <v>20</v>
      </c>
      <c r="M49" s="6" t="inlineStr"/>
    </row>
    <row r="50">
      <c r="A50" s="10" t="inlineStr">
        <is>
          <t>Culture</t>
        </is>
      </c>
      <c r="B50" s="10" t="inlineStr">
        <is>
          <t>Meme</t>
        </is>
      </c>
      <c r="C50" s="3" t="n"/>
      <c r="D50" s="4" t="inlineStr">
        <is>
          <t>slurpee</t>
        </is>
      </c>
      <c r="E50" s="5" t="inlineStr">
        <is>
          <t>SLURPEE!</t>
        </is>
      </c>
      <c r="F50" s="6" t="inlineStr">
        <is>
          <t>_any time_</t>
        </is>
      </c>
      <c r="G50" s="6" t="inlineStr">
        <is>
          <t>Select exactly 3 and 79.</t>
        </is>
      </c>
      <c r="H50" s="6" t="inlineStr">
        <is>
          <t>711</t>
        </is>
      </c>
      <c r="I50" s="3" t="n">
        <v>1</v>
      </c>
      <c r="J50" s="6" t="n"/>
      <c r="K50" s="4" t="inlineStr"/>
      <c r="L50" s="3" t="n">
        <v>20</v>
      </c>
      <c r="M50" s="6" t="inlineStr"/>
    </row>
    <row r="51">
      <c r="A51" s="10" t="inlineStr">
        <is>
          <t>Culture</t>
        </is>
      </c>
      <c r="B51" s="10" t="inlineStr">
        <is>
          <t>Meme</t>
        </is>
      </c>
      <c r="C51" s="3" t="n"/>
      <c r="D51" s="4" t="inlineStr">
        <is>
          <t>sparta</t>
        </is>
      </c>
      <c r="E51" s="5" t="inlineStr">
        <is>
          <t>SPARTA!</t>
        </is>
      </c>
      <c r="F51" s="6" t="inlineStr">
        <is>
          <t>_this is_</t>
        </is>
      </c>
      <c r="G51" s="6" t="inlineStr">
        <is>
          <t>Select exactly 2, 3 and 5.</t>
        </is>
      </c>
      <c r="H51" s="6" t="inlineStr">
        <is>
          <t>300</t>
        </is>
      </c>
      <c r="I51" s="3" t="n">
        <v>1</v>
      </c>
      <c r="J51" s="6" t="n"/>
      <c r="K51" s="4" t="inlineStr"/>
      <c r="L51" s="3" t="n">
        <v>20</v>
      </c>
      <c r="M51" s="6" t="inlineStr"/>
    </row>
    <row r="52">
      <c r="A52" s="10" t="inlineStr">
        <is>
          <t>Culture</t>
        </is>
      </c>
      <c r="B52" s="10" t="inlineStr">
        <is>
          <t>Meme</t>
        </is>
      </c>
      <c r="C52" s="3" t="n"/>
      <c r="D52" s="4" t="inlineStr">
        <is>
          <t>jumbo</t>
        </is>
      </c>
      <c r="E52" s="5" t="inlineStr">
        <is>
          <t>JUMBO!</t>
        </is>
      </c>
      <c r="F52" s="6" t="inlineStr">
        <is>
          <t>_upper deck_</t>
        </is>
      </c>
      <c r="G52" s="6" t="inlineStr">
        <is>
          <t>Select exactly 3 and 83.</t>
        </is>
      </c>
      <c r="H52" s="6" t="inlineStr">
        <is>
          <t>747</t>
        </is>
      </c>
      <c r="I52" s="3" t="n">
        <v>1</v>
      </c>
      <c r="J52" s="6" t="n"/>
      <c r="K52" s="4" t="inlineStr"/>
      <c r="L52" s="3" t="n">
        <v>20</v>
      </c>
      <c r="M52" s="6" t="inlineStr"/>
    </row>
    <row r="53">
      <c r="A53" s="10" t="inlineStr">
        <is>
          <t>Culture</t>
        </is>
      </c>
      <c r="B53" s="10" t="inlineStr">
        <is>
          <t>Lore</t>
        </is>
      </c>
      <c r="C53" s="3" t="n"/>
      <c r="D53" s="4" t="inlineStr">
        <is>
          <t>beast</t>
        </is>
      </c>
      <c r="E53" s="5" t="inlineStr">
        <is>
          <t>BEAST!</t>
        </is>
      </c>
      <c r="F53" s="6" t="inlineStr">
        <is>
          <t>_number of a man_</t>
        </is>
      </c>
      <c r="G53" s="6" t="inlineStr">
        <is>
          <t>Select exactly 2, 3 and 37.</t>
        </is>
      </c>
      <c r="H53" s="6" t="inlineStr">
        <is>
          <t>666</t>
        </is>
      </c>
      <c r="I53" s="3" t="n">
        <v>1</v>
      </c>
      <c r="J53" s="6" t="inlineStr">
        <is>
          <t xml:space="preserve">The number of the beast, from Revelation. It is also the sum of the squares of the first seven primes: 4 + 9 + 25 + 49 + 121 + 169 + 289 = 666. </t>
        </is>
      </c>
      <c r="K53" s="4" t="inlineStr"/>
      <c r="L53" s="3" t="n">
        <v>20</v>
      </c>
      <c r="M53" s="6" t="inlineStr"/>
    </row>
    <row r="54">
      <c r="A54" s="10" t="inlineStr">
        <is>
          <t>Culture</t>
        </is>
      </c>
      <c r="B54" s="10" t="inlineStr">
        <is>
          <t>Lore</t>
        </is>
      </c>
      <c r="C54" s="3" t="n"/>
      <c r="D54" s="4" t="inlineStr">
        <is>
          <t>angel</t>
        </is>
      </c>
      <c r="E54" s="5" t="inlineStr">
        <is>
          <t>ANGEL!</t>
        </is>
      </c>
      <c r="F54" s="6" t="inlineStr">
        <is>
          <t>_a repeating message_</t>
        </is>
      </c>
      <c r="G54" s="6" t="inlineStr">
        <is>
          <t>Select exactly 2, 3, 5, 7 and 37.</t>
        </is>
      </c>
      <c r="H54" s="6" t="inlineStr">
        <is>
          <t>111, 222, 333, 444, 555, 666, 777, 888, 999</t>
        </is>
      </c>
      <c r="I54" s="3" t="n">
        <v>9</v>
      </c>
      <c r="J54" s="6" t="inlineStr">
        <is>
          <t>Repeated digits are read as messages in some numerology. Every one of them is a multiple of 111, and 111 is 3 x 37 -- so 37 is hiding inside all nine. The five primes you selected are exactly the ones needed to build the whole set: 5 appears only in 555, and 7 only in 777.</t>
        </is>
      </c>
      <c r="K54" s="4" t="inlineStr"/>
      <c r="L54" s="3" t="n">
        <v>20</v>
      </c>
      <c r="M54" s="6" t="inlineStr"/>
    </row>
    <row r="55">
      <c r="A55" s="10" t="inlineStr">
        <is>
          <t>Culture</t>
        </is>
      </c>
      <c r="B55" s="10" t="inlineStr">
        <is>
          <t>Lore</t>
        </is>
      </c>
      <c r="C55" s="3" t="n"/>
      <c r="D55" s="4" t="inlineStr">
        <is>
          <t>lucky</t>
        </is>
      </c>
      <c r="E55" s="5" t="inlineStr">
        <is>
          <t>LUCKY!</t>
        </is>
      </c>
      <c r="F55" s="6" t="inlineStr">
        <is>
          <t>_seventh heaven_</t>
        </is>
      </c>
      <c r="G55" s="6" t="inlineStr">
        <is>
          <t>Select exactly 7.</t>
        </is>
      </c>
      <c r="H55" s="6" t="inlineStr">
        <is>
          <t>7</t>
        </is>
      </c>
      <c r="I55" s="3" t="n">
        <v>1</v>
      </c>
      <c r="J55" s="6" t="n"/>
      <c r="K55" s="4" t="inlineStr"/>
      <c r="L55" s="3" t="n">
        <v>20</v>
      </c>
      <c r="M55" s="6" t="inlineStr"/>
    </row>
    <row r="56">
      <c r="A56" s="10" t="inlineStr">
        <is>
          <t>Culture</t>
        </is>
      </c>
      <c r="B56" s="10" t="inlineStr">
        <is>
          <t>Lore</t>
        </is>
      </c>
      <c r="C56" s="3" t="n"/>
      <c r="D56" s="4" t="inlineStr">
        <is>
          <t>unlucky</t>
        </is>
      </c>
      <c r="E56" s="5" t="inlineStr">
        <is>
          <t>UNLUCKY!</t>
        </is>
      </c>
      <c r="F56" s="6" t="inlineStr">
        <is>
          <t>_no thirteenth floor_</t>
        </is>
      </c>
      <c r="G56" s="6" t="inlineStr">
        <is>
          <t>Select exactly 13.</t>
        </is>
      </c>
      <c r="H56" s="6" t="inlineStr">
        <is>
          <t>13</t>
        </is>
      </c>
      <c r="I56" s="3" t="n">
        <v>1</v>
      </c>
      <c r="J56" s="6" t="inlineStr">
        <is>
          <t>Fear of thirteen is common enough to have a name -- triskaidekaphobia -- and common enough that plenty of buildings label the floor above twelve as fourteen.</t>
        </is>
      </c>
      <c r="K56" s="4" t="inlineStr"/>
      <c r="L56" s="3" t="n">
        <v>20</v>
      </c>
      <c r="M56" s="6" t="inlineStr"/>
    </row>
    <row r="57">
      <c r="A57" s="10" t="inlineStr">
        <is>
          <t>Culture</t>
        </is>
      </c>
      <c r="B57" s="10" t="inlineStr">
        <is>
          <t>Lore</t>
        </is>
      </c>
      <c r="C57" s="3" t="n"/>
      <c r="D57" s="4" t="inlineStr">
        <is>
          <t>enigma</t>
        </is>
      </c>
      <c r="E57" s="5" t="inlineStr">
        <is>
          <t>ENIGMA!</t>
        </is>
      </c>
      <c r="F57" s="6" t="inlineStr">
        <is>
          <t>_fnord_</t>
        </is>
      </c>
      <c r="G57" s="6" t="inlineStr">
        <is>
          <t>Select exactly 23.</t>
        </is>
      </c>
      <c r="H57" s="6" t="inlineStr">
        <is>
          <t>23</t>
        </is>
      </c>
      <c r="I57" s="3" t="n">
        <v>1</v>
      </c>
      <c r="J57" s="6" t="n"/>
      <c r="K57" s="4" t="inlineStr"/>
      <c r="L57" s="3" t="n">
        <v>20</v>
      </c>
      <c r="M57" s="6" t="inlineStr"/>
    </row>
    <row r="58">
      <c r="A58" s="10" t="inlineStr">
        <is>
          <t>Culture</t>
        </is>
      </c>
      <c r="B58" s="10" t="inlineStr">
        <is>
          <t>Lore</t>
        </is>
      </c>
      <c r="C58" s="3" t="n"/>
      <c r="D58" s="4" t="inlineStr">
        <is>
          <t>masonic</t>
        </is>
      </c>
      <c r="E58" s="5" t="inlineStr">
        <is>
          <t>MASONIC!</t>
        </is>
      </c>
      <c r="F58" s="6" t="inlineStr">
        <is>
          <t>_the highest degree_</t>
        </is>
      </c>
      <c r="G58" s="6" t="inlineStr">
        <is>
          <t>Select exactly 3 and 11.</t>
        </is>
      </c>
      <c r="H58" s="6" t="inlineStr">
        <is>
          <t>33</t>
        </is>
      </c>
      <c r="I58" s="3" t="n">
        <v>1</v>
      </c>
      <c r="J58" s="6" t="n"/>
      <c r="K58" s="4" t="inlineStr"/>
      <c r="L58" s="3" t="n">
        <v>20</v>
      </c>
      <c r="M58" s="6" t="inlineStr"/>
    </row>
    <row r="59">
      <c r="A59" s="10" t="inlineStr">
        <is>
          <t>Culture</t>
        </is>
      </c>
      <c r="B59" s="10" t="inlineStr">
        <is>
          <t>Lore</t>
        </is>
      </c>
      <c r="C59" s="3" t="n"/>
      <c r="D59" s="4" t="inlineStr">
        <is>
          <t>thelema</t>
        </is>
      </c>
      <c r="E59" s="5" t="inlineStr">
        <is>
          <t>THELEMA!</t>
        </is>
      </c>
      <c r="F59" s="6" t="inlineStr">
        <is>
          <t>_do what thou wilt_</t>
        </is>
      </c>
      <c r="G59" s="6" t="inlineStr">
        <is>
          <t>Select exactly 3 and 31.</t>
        </is>
      </c>
      <c r="H59" s="6" t="inlineStr">
        <is>
          <t>93</t>
        </is>
      </c>
      <c r="I59" s="3" t="n">
        <v>1</v>
      </c>
      <c r="J59" s="6" t="n"/>
      <c r="K59" s="4" t="inlineStr"/>
      <c r="L59" s="3" t="n">
        <v>20</v>
      </c>
      <c r="M59" s="6" t="inlineStr"/>
    </row>
    <row r="60">
      <c r="A60" s="10" t="inlineStr">
        <is>
          <t>Culture</t>
        </is>
      </c>
      <c r="B60" s="10" t="inlineStr">
        <is>
          <t>Lore</t>
        </is>
      </c>
      <c r="C60" s="3" t="n"/>
      <c r="D60" s="4" t="inlineStr">
        <is>
          <t>other-beast</t>
        </is>
      </c>
      <c r="E60" s="5" t="inlineStr">
        <is>
          <t>OTHER BEAST!</t>
        </is>
      </c>
      <c r="F60" s="6" t="inlineStr">
        <is>
          <t>_the older manuscript_</t>
        </is>
      </c>
      <c r="G60" s="6" t="inlineStr">
        <is>
          <t>Select exactly 2, 7 and 11.</t>
        </is>
      </c>
      <c r="H60" s="6" t="inlineStr">
        <is>
          <t>616</t>
        </is>
      </c>
      <c r="I60" s="3" t="n">
        <v>1</v>
      </c>
      <c r="J60" s="6" t="inlineStr">
        <is>
          <t>The oldest surviving fragment of Revelation gives the number as 616, not 666. Both readings circulated in antiquity.</t>
        </is>
      </c>
      <c r="K60" s="4" t="inlineStr"/>
      <c r="L60" s="3" t="n">
        <v>20</v>
      </c>
      <c r="M60" s="6" t="inlineStr"/>
    </row>
    <row r="61">
      <c r="A61" s="10" t="inlineStr">
        <is>
          <t>Culture</t>
        </is>
      </c>
      <c r="B61" s="10" t="inlineStr">
        <is>
          <t>Lore</t>
        </is>
      </c>
      <c r="C61" s="3" t="n"/>
      <c r="D61" s="4" t="inlineStr">
        <is>
          <t>rest</t>
        </is>
      </c>
      <c r="E61" s="8" t="inlineStr">
        <is>
          <t>REST!</t>
        </is>
      </c>
      <c r="F61" s="6" t="inlineStr">
        <is>
          <t>_gotta take breaks_</t>
        </is>
      </c>
      <c r="G61" s="6" t="inlineStr">
        <is>
          <t>Pause the transport.</t>
        </is>
      </c>
      <c r="H61" s="6" t="inlineStr">
        <is>
          <t>every multiple of 7</t>
        </is>
      </c>
      <c r="I61" s="3" t="n">
        <v>142</v>
      </c>
      <c r="J61" s="6" t="inlineStr">
        <is>
          <t>Rest on the seventh day. Every seventh node is lit -- 142 of them under a thousand. The play and pause bar is the one control nothing else in this list ever asks you to touch.</t>
        </is>
      </c>
      <c r="K61" s="9" t="inlineStr">
        <is>
          <t>reworked v4</t>
        </is>
      </c>
      <c r="L61" s="3" t="n"/>
      <c r="M61" s="6" t="inlineStr">
        <is>
          <t>'select every multiple of 7' was impossible -- the grid is all primes, so 7 is the only one. Pause fits the clue better and teaches the transport, which nothing else does. But 142 nodes is now the largest gild set in the design, past SEXY! at 120.</t>
        </is>
      </c>
    </row>
    <row r="62">
      <c r="A62" s="10" t="inlineStr">
        <is>
          <t>Culture</t>
        </is>
      </c>
      <c r="B62" s="10" t="inlineStr">
        <is>
          <t>Lore</t>
        </is>
      </c>
      <c r="C62" s="3" t="inlineStr"/>
      <c r="D62" s="4" t="inlineStr">
        <is>
          <t>eightfold</t>
        </is>
      </c>
      <c r="E62" s="8" t="inlineStr">
        <is>
          <t>EIGHTFOLD!</t>
        </is>
      </c>
      <c r="F62" s="6" t="inlineStr">
        <is>
          <t>_the middle way_</t>
        </is>
      </c>
      <c r="G62" s="6" t="inlineStr">
        <is>
          <t>Select exactly 2.</t>
        </is>
      </c>
      <c r="H62" s="6" t="inlineStr">
        <is>
          <t>8</t>
        </is>
      </c>
      <c r="I62" s="3" t="n">
        <v>1</v>
      </c>
      <c r="J62" s="6" t="inlineStr">
        <is>
          <t>The Noble Eightfold Path sets out eight practices, traditionally gathered into three divisions: wisdom, conduct and discipline. 8 is three twos multiplied together, which is a coincidence, but a tidy one. Eight is also the luckiest number in Chinese tradition, because the word for it sounds like the word for prosperity.</t>
        </is>
      </c>
      <c r="K62" s="9" t="inlineStr">
        <is>
          <t>new v4</t>
        </is>
      </c>
      <c r="L62" s="3" t="n">
        <v>20</v>
      </c>
      <c r="M62" s="6" t="inlineStr">
        <is>
          <t>single-prime selections confirmed deliberate, 2026-08-22</t>
        </is>
      </c>
    </row>
    <row r="63">
      <c r="A63" s="10" t="inlineStr">
        <is>
          <t>Culture</t>
        </is>
      </c>
      <c r="B63" s="10" t="inlineStr">
        <is>
          <t>Geek</t>
        </is>
      </c>
      <c r="C63" s="3" t="n"/>
      <c r="D63" s="4" t="inlineStr">
        <is>
          <t>not-found</t>
        </is>
      </c>
      <c r="E63" s="5" t="inlineStr">
        <is>
          <t>NOT FOUND!</t>
        </is>
      </c>
      <c r="F63" s="6" t="inlineStr">
        <is>
          <t>_missing_</t>
        </is>
      </c>
      <c r="G63" s="6" t="inlineStr">
        <is>
          <t>Select exactly 2 and 101.</t>
        </is>
      </c>
      <c r="H63" s="6" t="inlineStr">
        <is>
          <t>404</t>
        </is>
      </c>
      <c r="I63" s="3" t="n">
        <v>1</v>
      </c>
      <c r="J63" s="6" t="inlineStr">
        <is>
          <t>404 is the code a server sends when the thing you asked for is not there. It is also the area code for Atlanta.</t>
        </is>
      </c>
      <c r="K63" s="4" t="inlineStr"/>
      <c r="L63" s="3" t="n">
        <v>20</v>
      </c>
      <c r="M63" s="6" t="inlineStr"/>
    </row>
    <row r="64">
      <c r="A64" s="10" t="inlineStr">
        <is>
          <t>Culture</t>
        </is>
      </c>
      <c r="B64" s="10" t="inlineStr">
        <is>
          <t>Geek</t>
        </is>
      </c>
      <c r="C64" s="3" t="n"/>
      <c r="D64" s="4" t="inlineStr">
        <is>
          <t>teapot</t>
        </is>
      </c>
      <c r="E64" s="5" t="inlineStr">
        <is>
          <t>TEAPOT!</t>
        </is>
      </c>
      <c r="F64" s="6" t="inlineStr">
        <is>
          <t>_short and stout_</t>
        </is>
      </c>
      <c r="G64" s="6" t="inlineStr">
        <is>
          <t>Select exactly 2, 11 and 19.</t>
        </is>
      </c>
      <c r="H64" s="6" t="inlineStr">
        <is>
          <t>418</t>
        </is>
      </c>
      <c r="I64" s="3" t="n">
        <v>1</v>
      </c>
      <c r="J64" s="6" t="inlineStr">
        <is>
          <t>HTTP 418 is a real, published status code meaning 'I'm a teapot'. It was written as an April Fool's joke in 1998 and people have been refusing to remove it ever since.</t>
        </is>
      </c>
      <c r="K64" s="4" t="inlineStr"/>
      <c r="L64" s="3" t="n">
        <v>20</v>
      </c>
      <c r="M64" s="6" t="inlineStr"/>
    </row>
    <row r="65">
      <c r="A65" s="10" t="inlineStr">
        <is>
          <t>Culture</t>
        </is>
      </c>
      <c r="B65" s="10" t="inlineStr">
        <is>
          <t>Geek</t>
        </is>
      </c>
      <c r="C65" s="3" t="n"/>
      <c r="D65" s="4" t="inlineStr">
        <is>
          <t>bradbury</t>
        </is>
      </c>
      <c r="E65" s="5" t="inlineStr">
        <is>
          <t>BRADBURY!</t>
        </is>
      </c>
      <c r="F65" s="6" t="inlineStr">
        <is>
          <t>_burning point_</t>
        </is>
      </c>
      <c r="G65" s="6" t="inlineStr">
        <is>
          <t>Select exactly 11 and 41.</t>
        </is>
      </c>
      <c r="H65" s="6" t="inlineStr">
        <is>
          <t>451</t>
        </is>
      </c>
      <c r="I65" s="3" t="n">
        <v>1</v>
      </c>
      <c r="J65" s="6" t="inlineStr">
        <is>
          <t>The temperature at which paper catches fire, and the title of Bradbury's novel about burning books. HTTP 451 borrows it for content blocked for legal reasons.</t>
        </is>
      </c>
      <c r="K65" s="4" t="inlineStr"/>
      <c r="L65" s="3" t="n">
        <v>20</v>
      </c>
      <c r="M65" s="6" t="inlineStr"/>
    </row>
    <row r="66">
      <c r="A66" s="10" t="inlineStr">
        <is>
          <t>Culture</t>
        </is>
      </c>
      <c r="B66" s="10" t="inlineStr">
        <is>
          <t>Geek</t>
        </is>
      </c>
      <c r="C66" s="3" t="n"/>
      <c r="D66" s="4" t="inlineStr">
        <is>
          <t>trek</t>
        </is>
      </c>
      <c r="E66" s="5" t="inlineStr">
        <is>
          <t>1701!</t>
        </is>
      </c>
      <c r="F66" s="6" t="inlineStr">
        <is>
          <t>_deck 47, sector 47_</t>
        </is>
      </c>
      <c r="G66" s="6" t="inlineStr">
        <is>
          <t>Select exactly 47.</t>
        </is>
      </c>
      <c r="H66" s="6" t="inlineStr">
        <is>
          <t>47</t>
        </is>
      </c>
      <c r="I66" s="3" t="n">
        <v>1</v>
      </c>
      <c r="J66" s="6" t="inlineStr">
        <is>
          <t>A writer on Star Trek had been at a college with a running joke that 47 turns up more often than chance allows. He started putting it in scripts, and it never left.</t>
        </is>
      </c>
      <c r="K66" s="4" t="inlineStr"/>
      <c r="L66" s="3" t="n">
        <v>20</v>
      </c>
      <c r="M66" s="6" t="inlineStr"/>
    </row>
    <row r="67">
      <c r="A67" s="10" t="inlineStr">
        <is>
          <t>Culture</t>
        </is>
      </c>
      <c r="B67" s="10" t="inlineStr">
        <is>
          <t>Geek</t>
        </is>
      </c>
      <c r="C67" s="3" t="n"/>
      <c r="D67" s="4" t="inlineStr">
        <is>
          <t>localhost</t>
        </is>
      </c>
      <c r="E67" s="5" t="inlineStr">
        <is>
          <t>LOCALHOST!</t>
        </is>
      </c>
      <c r="F67" s="6" t="inlineStr">
        <is>
          <t>_no place like it_</t>
        </is>
      </c>
      <c r="G67" s="6" t="inlineStr">
        <is>
          <t>Select exactly 127, with the range set to 127.</t>
        </is>
      </c>
      <c r="H67" s="6" t="inlineStr">
        <is>
          <t>127</t>
        </is>
      </c>
      <c r="I67" s="3" t="n">
        <v>1</v>
      </c>
      <c r="J67" s="6" t="inlineStr">
        <is>
          <t>127 is the biggest number a computer can hold in one byte if it also needs room for a minus sign. It is also the address a computer uses to talk to itself.</t>
        </is>
      </c>
      <c r="K67" s="4" t="inlineStr"/>
      <c r="L67" s="3" t="n">
        <v>20</v>
      </c>
      <c r="M67" s="6" t="inlineStr"/>
    </row>
    <row r="68">
      <c r="A68" s="10" t="inlineStr">
        <is>
          <t>Culture</t>
        </is>
      </c>
      <c r="B68" s="10" t="inlineStr">
        <is>
          <t>Geek</t>
        </is>
      </c>
      <c r="C68" s="3" t="n"/>
      <c r="D68" s="4" t="inlineStr">
        <is>
          <t>rawr</t>
        </is>
      </c>
      <c r="E68" s="5" t="inlineStr">
        <is>
          <t>RAWR!</t>
        </is>
      </c>
      <c r="F68" s="6" t="inlineStr">
        <is>
          <t>_so random_</t>
        </is>
      </c>
      <c r="G68" s="6" t="inlineStr">
        <is>
          <t>Select exactly 17.</t>
        </is>
      </c>
      <c r="H68" s="6" t="inlineStr">
        <is>
          <t>17</t>
        </is>
      </c>
      <c r="I68" s="3" t="n">
        <v>1</v>
      </c>
      <c r="J68" s="6" t="inlineStr">
        <is>
          <t>Ask people to pick a random number from 1 to 20 and more of them say 17 than anything else. Ask for 1 to 100 and they say 37.</t>
        </is>
      </c>
      <c r="K68" s="4" t="inlineStr"/>
      <c r="L68" s="3" t="n">
        <v>20</v>
      </c>
      <c r="M68" s="6" t="inlineStr"/>
    </row>
    <row r="69">
      <c r="A69" s="10" t="inlineStr">
        <is>
          <t>Culture</t>
        </is>
      </c>
      <c r="B69" s="10" t="inlineStr">
        <is>
          <t>Geek</t>
        </is>
      </c>
      <c r="C69" s="3" t="n"/>
      <c r="D69" s="4" t="inlineStr">
        <is>
          <t>best</t>
        </is>
      </c>
      <c r="E69" s="5" t="inlineStr">
        <is>
          <t>BEST!</t>
        </is>
      </c>
      <c r="F69" s="6" t="inlineStr">
        <is>
          <t>_the twenty_first, reflected_</t>
        </is>
      </c>
      <c r="G69" s="6" t="inlineStr">
        <is>
          <t>Select exactly 37 and 73.</t>
        </is>
      </c>
      <c r="H69" s="6" t="inlineStr">
        <is>
          <t>37, 73</t>
        </is>
      </c>
      <c r="I69" s="3" t="n">
        <v>2</v>
      </c>
      <c r="J69" s="6" t="inlineStr">
        <is>
          <t>73 is the 21st prime. 21 is 7 times 3. Flip 73 around and you get 37, which is the 12th prime -- and 12 is 21 flipped around.</t>
        </is>
      </c>
      <c r="K69" s="4" t="inlineStr"/>
      <c r="L69" s="3" t="n">
        <v>20</v>
      </c>
      <c r="M69" s="6" t="inlineStr"/>
    </row>
    <row r="70">
      <c r="A70" s="10" t="inlineStr">
        <is>
          <t>Culture</t>
        </is>
      </c>
      <c r="B70" s="10" t="inlineStr">
        <is>
          <t>Geek</t>
        </is>
      </c>
      <c r="C70" s="3" t="n"/>
      <c r="D70" s="4" t="inlineStr">
        <is>
          <t>concert-a</t>
        </is>
      </c>
      <c r="E70" s="5" t="inlineStr">
        <is>
          <t>CONCERT A!</t>
        </is>
      </c>
      <c r="F70" s="6" t="inlineStr">
        <is>
          <t>_tune up_</t>
        </is>
      </c>
      <c r="G70" s="6" t="inlineStr">
        <is>
          <t>Select exactly 2, 5 and 11.</t>
        </is>
      </c>
      <c r="H70" s="6" t="inlineStr">
        <is>
          <t>440</t>
        </is>
      </c>
      <c r="I70" s="3" t="n">
        <v>1</v>
      </c>
      <c r="J70" s="6" t="inlineStr">
        <is>
          <t>The A above middle C, at 440 hertz, is what an orchestra tunes to. It was only fixed by international agreement in 1955.</t>
        </is>
      </c>
      <c r="K70" s="4" t="inlineStr"/>
      <c r="L70" s="3" t="n">
        <v>20</v>
      </c>
      <c r="M70" s="6" t="inlineStr"/>
    </row>
    <row r="71">
      <c r="A71" s="10" t="inlineStr">
        <is>
          <t>Culture</t>
        </is>
      </c>
      <c r="B71" s="10" t="inlineStr">
        <is>
          <t>Geek</t>
        </is>
      </c>
      <c r="C71" s="3" t="n"/>
      <c r="D71" s="4" t="inlineStr">
        <is>
          <t>lightspeed</t>
        </is>
      </c>
      <c r="E71" s="5" t="inlineStr">
        <is>
          <t>LIGHTSPEED!</t>
        </is>
      </c>
      <c r="F71" s="6" t="inlineStr">
        <is>
          <t>_in a vacuum_</t>
        </is>
      </c>
      <c r="G71" s="6" t="inlineStr">
        <is>
          <t>Select exactly 13 and 23.</t>
        </is>
      </c>
      <c r="H71" s="6" t="inlineStr">
        <is>
          <t>299</t>
        </is>
      </c>
      <c r="I71" s="3" t="n">
        <v>1</v>
      </c>
      <c r="J71" s="6" t="inlineStr">
        <is>
          <t>Light travels 299,792,458 metres every second, and that number is exact -- since 1983 the metre has been defined by it rather than the other way round.</t>
        </is>
      </c>
      <c r="K71" s="4" t="inlineStr"/>
      <c r="L71" s="3" t="n">
        <v>20</v>
      </c>
      <c r="M71" s="6" t="inlineStr"/>
    </row>
    <row r="72">
      <c r="A72" s="10" t="inlineStr">
        <is>
          <t>Culture</t>
        </is>
      </c>
      <c r="B72" s="10" t="inlineStr">
        <is>
          <t>Geek</t>
        </is>
      </c>
      <c r="C72" s="3" t="n"/>
      <c r="D72" s="4" t="inlineStr">
        <is>
          <t>memory</t>
        </is>
      </c>
      <c r="E72" s="5" t="inlineStr">
        <is>
          <t>MEMORY!</t>
        </is>
      </c>
      <c r="F72" s="6" t="inlineStr">
        <is>
          <t>_ought to be enough_</t>
        </is>
      </c>
      <c r="G72" s="6" t="inlineStr">
        <is>
          <t>Select exactly 2 and 5.</t>
        </is>
      </c>
      <c r="H72" s="6" t="inlineStr">
        <is>
          <t>640</t>
        </is>
      </c>
      <c r="I72" s="3" t="n">
        <v>1</v>
      </c>
      <c r="J72" s="6" t="n"/>
      <c r="K72" s="4" t="inlineStr"/>
      <c r="L72" s="3" t="n">
        <v>20</v>
      </c>
      <c r="M72" s="6" t="inlineStr"/>
    </row>
    <row r="73">
      <c r="A73" s="10" t="inlineStr">
        <is>
          <t>Culture</t>
        </is>
      </c>
      <c r="B73" s="10" t="inlineStr">
        <is>
          <t>Dial</t>
        </is>
      </c>
      <c r="C73" s="3" t="n"/>
      <c r="D73" s="4" t="inlineStr">
        <is>
          <t>help</t>
        </is>
      </c>
      <c r="E73" s="5" t="inlineStr">
        <is>
          <t>HELP!</t>
        </is>
      </c>
      <c r="F73" s="6" t="inlineStr">
        <is>
          <t>_dial_</t>
        </is>
      </c>
      <c r="G73" s="6" t="inlineStr">
        <is>
          <t>Set the range to 911.</t>
        </is>
      </c>
      <c r="H73" s="6" t="inlineStr">
        <is>
          <t>911</t>
        </is>
      </c>
      <c r="I73" s="3" t="n">
        <v>1</v>
      </c>
      <c r="J73" s="6" t="inlineStr">
        <is>
          <t>911 has been the emergency number across North America since 1968. Before that every town had its own, and you had to know which.</t>
        </is>
      </c>
      <c r="K73" s="4" t="inlineStr"/>
      <c r="L73" s="3" t="n">
        <v>20</v>
      </c>
      <c r="M73" s="6" t="inlineStr"/>
    </row>
    <row r="74">
      <c r="A74" s="10" t="inlineStr">
        <is>
          <t>Culture</t>
        </is>
      </c>
      <c r="B74" s="10" t="inlineStr">
        <is>
          <t>Dial</t>
        </is>
      </c>
      <c r="C74" s="3" t="n"/>
      <c r="D74" s="4" t="inlineStr">
        <is>
          <t>central</t>
        </is>
      </c>
      <c r="E74" s="8" t="inlineStr">
        <is>
          <t>CENTRAL!</t>
        </is>
      </c>
      <c r="F74" s="6" t="inlineStr">
        <is>
          <t>_the number that never rings_</t>
        </is>
      </c>
      <c r="G74" s="6" t="inlineStr">
        <is>
          <t>Set the range to 555.</t>
        </is>
      </c>
      <c r="H74" s="6" t="inlineStr">
        <is>
          <t>555</t>
        </is>
      </c>
      <c r="I74" s="3" t="n">
        <v>1</v>
      </c>
      <c r="J74" s="6" t="inlineStr">
        <is>
          <t>North American numbers beginning 555 are reserved, which is why every telephone number in a film or on television starts that way.</t>
        </is>
      </c>
      <c r="K74" s="9" t="inlineStr">
        <is>
          <t>moved v4</t>
        </is>
      </c>
      <c r="L74" s="3" t="n">
        <v>20</v>
      </c>
      <c r="M74" s="6" t="inlineStr">
        <is>
          <t>was a factor trigger; now a dial</t>
        </is>
      </c>
    </row>
    <row r="75">
      <c r="A75" s="10" t="inlineStr">
        <is>
          <t>Culture</t>
        </is>
      </c>
      <c r="B75" s="10" t="inlineStr">
        <is>
          <t>Dial</t>
        </is>
      </c>
      <c r="C75" s="3" t="n"/>
      <c r="D75" s="4" t="inlineStr">
        <is>
          <t>ny</t>
        </is>
      </c>
      <c r="E75" s="8" t="inlineStr">
        <is>
          <t>NY!</t>
        </is>
      </c>
      <c r="F75" s="6" t="inlineStr">
        <is>
          <t>_NY_</t>
        </is>
      </c>
      <c r="G75" s="6" t="inlineStr">
        <is>
          <t>Set the range to 212.</t>
        </is>
      </c>
      <c r="H75" s="6" t="inlineStr">
        <is>
          <t>212</t>
        </is>
      </c>
      <c r="I75" s="3" t="n">
        <v>1</v>
      </c>
      <c r="J75" s="6" t="inlineStr">
        <is>
          <t>212 is Manhattan below 96th Street, and the most sought-after area code in America.</t>
        </is>
      </c>
      <c r="K75" s="9" t="inlineStr">
        <is>
          <t>moved v4</t>
        </is>
      </c>
      <c r="L75" s="3" t="n">
        <v>20</v>
      </c>
      <c r="M75" s="6" t="inlineStr">
        <is>
          <t>was a factor trigger; now a dial</t>
        </is>
      </c>
    </row>
    <row r="76">
      <c r="A76" s="10" t="inlineStr">
        <is>
          <t>Culture</t>
        </is>
      </c>
      <c r="B76" s="10" t="inlineStr">
        <is>
          <t>Dial</t>
        </is>
      </c>
      <c r="C76" s="3" t="n"/>
      <c r="D76" s="4" t="inlineStr">
        <is>
          <t>space-city</t>
        </is>
      </c>
      <c r="E76" s="8" t="inlineStr">
        <is>
          <t>SPACE CITY!</t>
        </is>
      </c>
      <c r="F76" s="6" t="inlineStr">
        <is>
          <t>_we have a problem_</t>
        </is>
      </c>
      <c r="G76" s="6" t="inlineStr">
        <is>
          <t>Set the range to 713.</t>
        </is>
      </c>
      <c r="H76" s="6" t="inlineStr">
        <is>
          <t>713</t>
        </is>
      </c>
      <c r="I76" s="3" t="n">
        <v>1</v>
      </c>
      <c r="J76" s="6" t="inlineStr">
        <is>
          <t>713 is Houston, home of mission control.</t>
        </is>
      </c>
      <c r="K76" s="9" t="inlineStr">
        <is>
          <t>moved v4</t>
        </is>
      </c>
      <c r="L76" s="3" t="n">
        <v>20</v>
      </c>
      <c r="M76" s="6" t="inlineStr">
        <is>
          <t>was a factor trigger; now a dial</t>
        </is>
      </c>
    </row>
    <row r="77">
      <c r="A77" s="10" t="inlineStr">
        <is>
          <t>Culture</t>
        </is>
      </c>
      <c r="B77" s="10" t="inlineStr">
        <is>
          <t>Dial</t>
        </is>
      </c>
      <c r="C77" s="3" t="n"/>
      <c r="D77" s="4" t="inlineStr">
        <is>
          <t>graceland</t>
        </is>
      </c>
      <c r="E77" s="8" t="inlineStr">
        <is>
          <t>GRACELAND!</t>
        </is>
      </c>
      <c r="F77" s="6" t="inlineStr">
        <is>
          <t>_the king_</t>
        </is>
      </c>
      <c r="G77" s="6" t="inlineStr">
        <is>
          <t>Set the range to 901.</t>
        </is>
      </c>
      <c r="H77" s="6" t="inlineStr">
        <is>
          <t>901</t>
        </is>
      </c>
      <c r="I77" s="3" t="n">
        <v>1</v>
      </c>
      <c r="J77" s="6" t="inlineStr">
        <is>
          <t>901 is Memphis.</t>
        </is>
      </c>
      <c r="K77" s="9" t="inlineStr">
        <is>
          <t>moved v4</t>
        </is>
      </c>
      <c r="L77" s="3" t="n">
        <v>20</v>
      </c>
      <c r="M77" s="6" t="inlineStr">
        <is>
          <t>was a factor trigger; now a dial</t>
        </is>
      </c>
    </row>
    <row r="78">
      <c r="A78" s="10" t="inlineStr">
        <is>
          <t>Culture</t>
        </is>
      </c>
      <c r="B78" s="10" t="inlineStr">
        <is>
          <t>Dial</t>
        </is>
      </c>
      <c r="C78" s="3" t="inlineStr"/>
      <c r="D78" s="4" t="inlineStr">
        <is>
          <t>motor-city</t>
        </is>
      </c>
      <c r="E78" s="8" t="inlineStr">
        <is>
          <t>MOTOR CITY!</t>
        </is>
      </c>
      <c r="F78" s="6" t="inlineStr">
        <is>
          <t>_lose yourself_</t>
        </is>
      </c>
      <c r="G78" s="6" t="inlineStr">
        <is>
          <t>Set the range to 313.</t>
        </is>
      </c>
      <c r="H78" s="6" t="inlineStr">
        <is>
          <t>313</t>
        </is>
      </c>
      <c r="I78" s="3" t="n">
        <v>1</v>
      </c>
      <c r="J78" s="6" t="inlineStr">
        <is>
          <t>313 is Detroit -- Motown, techno, and the city that put the world on wheels.</t>
        </is>
      </c>
      <c r="K78" s="9" t="inlineStr">
        <is>
          <t>new v4</t>
        </is>
      </c>
      <c r="L78" s="3" t="n">
        <v>20</v>
      </c>
      <c r="M78" s="6" t="inlineStr">
        <is>
          <t>dialling makes the range trigger mean something -- and it ignores factors, so 313 is reachable at last</t>
        </is>
      </c>
    </row>
    <row r="79">
      <c r="A79" s="10" t="inlineStr">
        <is>
          <t>Culture</t>
        </is>
      </c>
      <c r="B79" s="10" t="inlineStr">
        <is>
          <t>Dial</t>
        </is>
      </c>
      <c r="C79" s="3" t="inlineStr"/>
      <c r="D79" s="4" t="inlineStr">
        <is>
          <t>vice</t>
        </is>
      </c>
      <c r="E79" s="8" t="inlineStr">
        <is>
          <t>VICE!</t>
        </is>
      </c>
      <c r="F79" s="6" t="inlineStr">
        <is>
          <t>_south beach_</t>
        </is>
      </c>
      <c r="G79" s="6" t="inlineStr">
        <is>
          <t>Set the range to 305.</t>
        </is>
      </c>
      <c r="H79" s="6" t="inlineStr">
        <is>
          <t>305</t>
        </is>
      </c>
      <c r="I79" s="3" t="n">
        <v>1</v>
      </c>
      <c r="J79" s="6" t="inlineStr">
        <is>
          <t>305 is Miami, and it covered the whole of south Florida until 1995.</t>
        </is>
      </c>
      <c r="K79" s="9" t="inlineStr">
        <is>
          <t>new v4</t>
        </is>
      </c>
      <c r="L79" s="3" t="n">
        <v>20</v>
      </c>
      <c r="M79" s="6" t="inlineStr">
        <is>
          <t>dialling makes the range trigger mean something -- and it ignores factors, so 313 is reachable at last</t>
        </is>
      </c>
    </row>
    <row r="80">
      <c r="A80" s="10" t="inlineStr">
        <is>
          <t>Culture</t>
        </is>
      </c>
      <c r="B80" s="10" t="inlineStr">
        <is>
          <t>Dial</t>
        </is>
      </c>
      <c r="C80" s="3" t="inlineStr"/>
      <c r="D80" s="4" t="inlineStr">
        <is>
          <t>bay</t>
        </is>
      </c>
      <c r="E80" s="8" t="inlineStr">
        <is>
          <t>BAY!</t>
        </is>
      </c>
      <c r="F80" s="6" t="inlineStr">
        <is>
          <t>_by the bay_</t>
        </is>
      </c>
      <c r="G80" s="6" t="inlineStr">
        <is>
          <t>Set the range to 415.</t>
        </is>
      </c>
      <c r="H80" s="6" t="inlineStr">
        <is>
          <t>415</t>
        </is>
      </c>
      <c r="I80" s="3" t="n">
        <v>1</v>
      </c>
      <c r="J80" s="6" t="inlineStr">
        <is>
          <t>415 is San Francisco.</t>
        </is>
      </c>
      <c r="K80" s="9" t="inlineStr">
        <is>
          <t>new v4</t>
        </is>
      </c>
      <c r="L80" s="3" t="n">
        <v>20</v>
      </c>
      <c r="M80" s="6" t="inlineStr">
        <is>
          <t>dialling makes the range trigger mean something -- and it ignores factors, so 313 is reachable at last</t>
        </is>
      </c>
    </row>
    <row r="81">
      <c r="A81" s="10" t="inlineStr">
        <is>
          <t>Culture</t>
        </is>
      </c>
      <c r="B81" s="10" t="inlineStr">
        <is>
          <t>Dial</t>
        </is>
      </c>
      <c r="C81" s="3" t="inlineStr"/>
      <c r="D81" s="4" t="inlineStr">
        <is>
          <t>aloha</t>
        </is>
      </c>
      <c r="E81" s="8" t="inlineStr">
        <is>
          <t>ALOHA!</t>
        </is>
      </c>
      <c r="F81" s="6" t="inlineStr">
        <is>
          <t>_island time_</t>
        </is>
      </c>
      <c r="G81" s="6" t="inlineStr">
        <is>
          <t>Set the range to 808.</t>
        </is>
      </c>
      <c r="H81" s="6" t="inlineStr">
        <is>
          <t>808</t>
        </is>
      </c>
      <c r="I81" s="3" t="n">
        <v>1</v>
      </c>
      <c r="J81" s="6" t="inlineStr">
        <is>
          <t>808 is the whole of Hawaii on a single area code. It is also the Roland TR-808, the drum machine that built hip-hop.</t>
        </is>
      </c>
      <c r="K81" s="9" t="inlineStr">
        <is>
          <t>new v4</t>
        </is>
      </c>
      <c r="L81" s="3" t="n">
        <v>20</v>
      </c>
      <c r="M81" s="6" t="inlineStr">
        <is>
          <t>dialling makes the range trigger mean something -- and it ignores factors, so 313 is reachable at last</t>
        </is>
      </c>
    </row>
    <row r="82">
      <c r="A82" s="10" t="inlineStr">
        <is>
          <t>Culture</t>
        </is>
      </c>
      <c r="B82" s="10" t="inlineStr">
        <is>
          <t>Dial</t>
        </is>
      </c>
      <c r="C82" s="3" t="inlineStr"/>
      <c r="D82" s="4" t="inlineStr">
        <is>
          <t>nola</t>
        </is>
      </c>
      <c r="E82" s="8" t="inlineStr">
        <is>
          <t>NOLA!</t>
        </is>
      </c>
      <c r="F82" s="6" t="inlineStr">
        <is>
          <t>_the big easy_</t>
        </is>
      </c>
      <c r="G82" s="6" t="inlineStr">
        <is>
          <t>Set the range to 504.</t>
        </is>
      </c>
      <c r="H82" s="6" t="inlineStr">
        <is>
          <t>504</t>
        </is>
      </c>
      <c r="I82" s="3" t="n">
        <v>1</v>
      </c>
      <c r="J82" s="6" t="inlineStr">
        <is>
          <t>504 is New Orleans.</t>
        </is>
      </c>
      <c r="K82" s="9" t="inlineStr">
        <is>
          <t>new v4</t>
        </is>
      </c>
      <c r="L82" s="3" t="n">
        <v>20</v>
      </c>
      <c r="M82" s="6" t="inlineStr">
        <is>
          <t>dialling makes the range trigger mean something -- and it ignores factors, so 313 is reachable at last</t>
        </is>
      </c>
    </row>
    <row r="83">
      <c r="A83" s="10" t="inlineStr">
        <is>
          <t>Culture</t>
        </is>
      </c>
      <c r="B83" s="10" t="inlineStr">
        <is>
          <t>Greeks</t>
        </is>
      </c>
      <c r="C83" s="3" t="n"/>
      <c r="D83" s="4" t="inlineStr">
        <is>
          <t>phi</t>
        </is>
      </c>
      <c r="E83" s="5" t="inlineStr">
        <is>
          <t>PHI!</t>
        </is>
      </c>
      <c r="F83" s="6" t="inlineStr">
        <is>
          <t>_the angle nature picks_</t>
        </is>
      </c>
      <c r="G83" s="6" t="inlineStr">
        <is>
          <t>Set the divergence angle to the golden angle.</t>
        </is>
      </c>
      <c r="H83" s="6" t="inlineStr">
        <is>
          <t>161</t>
        </is>
      </c>
      <c r="I83" s="3" t="n">
        <v>1</v>
      </c>
      <c r="J83" s="6" t="inlineStr">
        <is>
          <t>The golden angle is what you get when you divide a full turn in the golden ratio: about 137.5 degrees. It is the angle a sunflower uses, because it is the angle least well approximated by any simple fraction -- so consecutive seeds never fall into a small number of spokes, at any scale. This whole figure is built on it. 1.618 is the golden ratio itself.</t>
        </is>
      </c>
      <c r="K83" s="4" t="inlineStr"/>
      <c r="L83" s="3" t="n">
        <v>20</v>
      </c>
      <c r="M83" s="6" t="inlineStr"/>
    </row>
    <row r="84">
      <c r="A84" s="10" t="inlineStr">
        <is>
          <t>Culture</t>
        </is>
      </c>
      <c r="B84" s="10" t="inlineStr">
        <is>
          <t>Greeks</t>
        </is>
      </c>
      <c r="C84" s="3" t="n"/>
      <c r="D84" s="4" t="inlineStr">
        <is>
          <t>pi</t>
        </is>
      </c>
      <c r="E84" s="5" t="inlineStr">
        <is>
          <t>PI!</t>
        </is>
      </c>
      <c r="F84" s="6" t="inlineStr">
        <is>
          <t>_half a turn_</t>
        </is>
      </c>
      <c r="G84" s="6" t="inlineStr">
        <is>
          <t>Set the divergence angle to 180 degrees.</t>
        </is>
      </c>
      <c r="H84" s="6" t="inlineStr">
        <is>
          <t>314</t>
        </is>
      </c>
      <c r="I84" s="3" t="n">
        <v>1</v>
      </c>
      <c r="J84" s="6" t="inlineStr">
        <is>
          <t>Set the divergence to half a turn and the figure collapses into two arms, because every second node lands in the same place. That is what a rational angle does, and it is exactly what the golden angle avoids.</t>
        </is>
      </c>
      <c r="K84" s="4" t="inlineStr"/>
      <c r="L84" s="3" t="n">
        <v>20</v>
      </c>
      <c r="M84" s="6" t="inlineStr"/>
    </row>
    <row r="85">
      <c r="A85" s="10" t="inlineStr">
        <is>
          <t>Culture</t>
        </is>
      </c>
      <c r="B85" s="10" t="inlineStr">
        <is>
          <t>Greeks</t>
        </is>
      </c>
      <c r="C85" s="3" t="n"/>
      <c r="D85" s="4" t="inlineStr">
        <is>
          <t>tau</t>
        </is>
      </c>
      <c r="E85" s="5" t="inlineStr">
        <is>
          <t>TAU!</t>
        </is>
      </c>
      <c r="F85" s="6" t="inlineStr">
        <is>
          <t>_the whole turn_</t>
        </is>
      </c>
      <c r="G85" s="6" t="inlineStr">
        <is>
          <t>Set the divergence angle to a full turn.</t>
        </is>
      </c>
      <c r="H85" s="6" t="inlineStr">
        <is>
          <t>628</t>
        </is>
      </c>
      <c r="I85" s="3" t="n">
        <v>1</v>
      </c>
      <c r="J85" s="6" t="inlineStr">
        <is>
          <t>Tau is two pi -- one whole turn. Set the divergence there and every node lands on top of the last one, collapsing the figure to a single spoke. Some argue tau should have been the circle constant all along, since a turn is the thing you actually measure.</t>
        </is>
      </c>
      <c r="K85" s="4" t="inlineStr"/>
      <c r="L85" s="3" t="n">
        <v>20</v>
      </c>
      <c r="M85" s="6" t="inlineStr"/>
    </row>
    <row r="86">
      <c r="A86" s="11" t="inlineStr">
        <is>
          <t>Capstone</t>
        </is>
      </c>
      <c r="B86" s="11" t="inlineStr">
        <is>
          <t>Capstone</t>
        </is>
      </c>
      <c r="C86" s="3" t="n"/>
      <c r="D86" s="4" t="inlineStr">
        <is>
          <t>unity</t>
        </is>
      </c>
      <c r="E86" s="5" t="inlineStr">
        <is>
          <t>UNITY!</t>
        </is>
      </c>
      <c r="F86" s="6" t="inlineStr">
        <is>
          <t>_everything else, first_</t>
        </is>
      </c>
      <c r="G86" s="6" t="inlineStr">
        <is>
          <t>Earn every other achievement.</t>
        </is>
      </c>
      <c r="H86" s="6" t="inlineStr">
        <is>
          <t>1, and the flood</t>
        </is>
      </c>
      <c r="I86" s="3" t="n">
        <v>1</v>
      </c>
      <c r="J86" s="6" t="inlineStr">
        <is>
          <t>1 is not prime, and it is not built out of primes either. It is called the unit -- the thing you count with. You get it last because you have to get everything else first, and when you do, every gilded prime finally gets its line and all of its multiples.</t>
        </is>
      </c>
      <c r="K86" s="4" t="inlineStr"/>
      <c r="L86" s="3" t="n">
        <v>20</v>
      </c>
      <c r="M86" s="6" t="inlineStr"/>
    </row>
  </sheetData>
  <autoFilter ref="A1:M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112" customWidth="1" min="1" max="1"/>
    <col width="12" customWidth="1" min="2" max="2"/>
    <col width="12" customWidth="1" min="3" max="3"/>
    <col width="12" customWidth="1" min="4" max="4"/>
  </cols>
  <sheetData>
    <row r="1">
      <c r="A1" s="12" t="inlineStr">
        <is>
          <t>Pretty Number Machine - achievements v4</t>
        </is>
      </c>
    </row>
    <row r="2">
      <c r="A2" s="13" t="inlineStr">
        <is>
          <t>Draft, 2026-08-22. Adds the Dial cluster, where the trigger is dialling.</t>
        </is>
      </c>
    </row>
    <row r="4">
      <c r="A4" s="14" t="inlineStr">
        <is>
          <t>Cluster</t>
        </is>
      </c>
      <c r="B4" s="14" t="inlineStr">
        <is>
          <t>Count</t>
        </is>
      </c>
      <c r="C4" s="14" t="inlineStr">
        <is>
          <t>XP each</t>
        </is>
      </c>
      <c r="D4" s="14" t="inlineStr">
        <is>
          <t>XP total</t>
        </is>
      </c>
    </row>
    <row r="5">
      <c r="A5" s="15" t="inlineStr">
        <is>
          <t>Tutorial</t>
        </is>
      </c>
      <c r="B5" s="15">
        <f>COUNTIF(Achievements!$B$2:$B$86,A5)</f>
        <v/>
      </c>
      <c r="C5" s="15" t="n">
        <v>20</v>
      </c>
      <c r="D5" s="15">
        <f>B5*C5</f>
        <v/>
      </c>
    </row>
    <row r="6">
      <c r="A6" s="15" t="inlineStr">
        <is>
          <t>Series</t>
        </is>
      </c>
      <c r="B6" s="15">
        <f>COUNTIF(Achievements!$B$2:$B$86,A6)</f>
        <v/>
      </c>
      <c r="C6" s="15" t="n">
        <v>20</v>
      </c>
      <c r="D6" s="15">
        <f>B6*C6</f>
        <v/>
      </c>
    </row>
    <row r="7">
      <c r="A7" s="15" t="inlineStr">
        <is>
          <t>Primes</t>
        </is>
      </c>
      <c r="B7" s="15">
        <f>COUNTIF(Achievements!$B$2:$B$86,A7)</f>
        <v/>
      </c>
      <c r="C7" s="15" t="n">
        <v>20</v>
      </c>
      <c r="D7" s="15">
        <f>B7*C7</f>
        <v/>
      </c>
    </row>
    <row r="8">
      <c r="A8" s="15" t="inlineStr">
        <is>
          <t>Puzzles</t>
        </is>
      </c>
      <c r="B8" s="15">
        <f>COUNTIF(Achievements!$B$2:$B$86,A8)</f>
        <v/>
      </c>
      <c r="C8" s="15" t="n">
        <v>20</v>
      </c>
      <c r="D8" s="15">
        <f>B8*C8</f>
        <v/>
      </c>
    </row>
    <row r="9">
      <c r="A9" s="15" t="inlineStr">
        <is>
          <t>Meme</t>
        </is>
      </c>
      <c r="B9" s="15">
        <f>COUNTIF(Achievements!$B$2:$B$86,A9)</f>
        <v/>
      </c>
      <c r="C9" s="15" t="n">
        <v>20</v>
      </c>
      <c r="D9" s="15">
        <f>B9*C9</f>
        <v/>
      </c>
    </row>
    <row r="10">
      <c r="A10" s="15" t="inlineStr">
        <is>
          <t>Lore</t>
        </is>
      </c>
      <c r="B10" s="15">
        <f>COUNTIF(Achievements!$B$2:$B$86,A10)</f>
        <v/>
      </c>
      <c r="C10" s="15" t="n">
        <v>20</v>
      </c>
      <c r="D10" s="15">
        <f>B10*C10</f>
        <v/>
      </c>
    </row>
    <row r="11">
      <c r="A11" s="15" t="inlineStr">
        <is>
          <t>Geek</t>
        </is>
      </c>
      <c r="B11" s="15">
        <f>COUNTIF(Achievements!$B$2:$B$86,A11)</f>
        <v/>
      </c>
      <c r="C11" s="15" t="n">
        <v>20</v>
      </c>
      <c r="D11" s="15">
        <f>B11*C11</f>
        <v/>
      </c>
    </row>
    <row r="12">
      <c r="A12" s="15" t="inlineStr">
        <is>
          <t>Dial</t>
        </is>
      </c>
      <c r="B12" s="15">
        <f>COUNTIF(Achievements!$B$2:$B$86,A12)</f>
        <v/>
      </c>
      <c r="C12" s="15" t="n">
        <v>20</v>
      </c>
      <c r="D12" s="15">
        <f>B12*C12</f>
        <v/>
      </c>
    </row>
    <row r="13">
      <c r="A13" s="15" t="inlineStr">
        <is>
          <t>Greeks</t>
        </is>
      </c>
      <c r="B13" s="15">
        <f>COUNTIF(Achievements!$B$2:$B$86,A13)</f>
        <v/>
      </c>
      <c r="C13" s="15" t="n">
        <v>20</v>
      </c>
      <c r="D13" s="15">
        <f>B13*C13</f>
        <v/>
      </c>
    </row>
    <row r="14">
      <c r="A14" s="15" t="inlineStr">
        <is>
          <t>Capstone</t>
        </is>
      </c>
      <c r="B14" s="15">
        <f>COUNTIF(Achievements!$B$2:$B$86,A14)</f>
        <v/>
      </c>
      <c r="C14" s="15" t="n">
        <v>20</v>
      </c>
      <c r="D14" s="15">
        <f>B14*C14</f>
        <v/>
      </c>
    </row>
    <row r="15">
      <c r="A15" s="16" t="inlineStr">
        <is>
          <t>TOTAL</t>
        </is>
      </c>
      <c r="B15" s="16">
        <f>SUM(B5:B14)</f>
        <v/>
      </c>
      <c r="C15" s="17" t="n"/>
      <c r="D15" s="16">
        <f>SUM(D5:D14)</f>
        <v/>
      </c>
    </row>
    <row r="17">
      <c r="A17" t="inlineStr">
        <is>
          <t>Play Games XP cap</t>
        </is>
      </c>
      <c r="B17" s="18" t="n">
        <v>2000</v>
      </c>
    </row>
    <row r="18">
      <c r="A18" t="inlineStr">
        <is>
          <t>Held in reserve</t>
        </is>
      </c>
      <c r="B18">
        <f>B17-D15</f>
        <v/>
      </c>
    </row>
    <row r="20">
      <c r="A20" s="19" t="inlineStr"/>
    </row>
    <row r="21">
      <c r="A21" s="20" t="inlineStr">
        <is>
          <t>WHAT CHANGED IN V4</t>
        </is>
      </c>
    </row>
    <row r="22">
      <c r="A22" s="19" t="inlineStr">
        <is>
          <t>TELE. A new cluster where the trigger is dialling: set the range to the number. The mechanic I rejected</t>
        </is>
      </c>
    </row>
    <row r="23">
      <c r="A23" s="19" t="inlineStr">
        <is>
          <t>for series works here because it means something -- you have to know a number to make a call.</t>
        </is>
      </c>
    </row>
    <row r="24">
      <c r="A24" s="19" t="inlineStr">
        <is>
          <t xml:space="preserve">  It also dissolves the factor constraint. A dial does not care what a number factors into, so the area</t>
        </is>
      </c>
    </row>
    <row r="25">
      <c r="A25" s="19" t="inlineStr">
        <is>
          <t xml:space="preserve">  codes that were unreachable are reachable: 313 Detroit above all, and 617, 773, 718, 818, 503, 514, 604</t>
        </is>
      </c>
    </row>
    <row r="26">
      <c r="A26" s="19" t="inlineStr">
        <is>
          <t xml:space="preserve">  remain available if more are wanted.</t>
        </is>
      </c>
    </row>
    <row r="27">
      <c r="A27" s="19" t="inlineStr">
        <is>
          <t xml:space="preserve">  NY!, SPACE CITY!, GRACELAND! and CENTRAL! moved here and became dials. That frees the radicals</t>
        </is>
      </c>
    </row>
    <row r="28">
      <c r="A28" s="19" t="inlineStr">
        <is>
          <t xml:space="preserve">  {2,53}, {23,31}, {17,53} and {3,5,37} for other uses.</t>
        </is>
      </c>
    </row>
    <row r="29">
      <c r="A29" s="19" t="inlineStr">
        <is>
          <t xml:space="preserve">  Five new dials added: 313, 305, 415, 808, 504.</t>
        </is>
      </c>
    </row>
    <row r="30">
      <c r="A30" s="19" t="inlineStr"/>
    </row>
    <row r="31">
      <c r="A31" s="19" t="inlineStr">
        <is>
          <t>SUPERPRIME! RENAMED to PRIME DIGITS!. A super-prime is a prime at a prime INDEX -- 3, 5, 11, 17, 31, 41,</t>
        </is>
      </c>
    </row>
    <row r="32">
      <c r="A32" s="19" t="inlineStr">
        <is>
          <t xml:space="preserve">  59, 67, 83, 109, 127 -- which overlaps the prime-digit set only at 3 and 5. The real one is now its own row.</t>
        </is>
      </c>
    </row>
    <row r="33">
      <c r="A33" s="19" t="inlineStr"/>
    </row>
    <row r="34">
      <c r="A34" s="19" t="inlineStr">
        <is>
          <t>REST! RE-MECHANISED. 'Select every multiple of 7' could not be done: the grid holds only primes, so 7 is</t>
        </is>
      </c>
    </row>
    <row r="35">
      <c r="A35" s="19" t="inlineStr">
        <is>
          <t xml:space="preserve">  the sole multiple of 7 in it. Pause fits the clue better and teaches the transport bar, which nothing</t>
        </is>
      </c>
    </row>
    <row r="36">
      <c r="A36" s="19" t="inlineStr">
        <is>
          <t xml:space="preserve">  else in the design touches.</t>
        </is>
      </c>
    </row>
    <row r="37">
      <c r="A37" s="19" t="inlineStr"/>
    </row>
    <row r="38">
      <c r="A38" s="19" t="inlineStr">
        <is>
          <t>LORE EXPANDED. EIGHTFOLD! (8). Most other candidates collide -- 108, 12 and 72 all want</t>
        </is>
      </c>
    </row>
    <row r="39">
      <c r="A39" s="19" t="inlineStr">
        <is>
          <t xml:space="preserve">  {2,3} which is SIXES!'s; 22 wants {2,11} which is CATCH!'s; 78 wants {2,3,13}.</t>
        </is>
      </c>
    </row>
    <row r="40">
      <c r="A40" s="19" t="inlineStr"/>
    </row>
    <row r="41">
      <c r="A41" s="20" t="inlineStr">
        <is>
          <t>OPEN</t>
        </is>
      </c>
    </row>
    <row r="42">
      <c r="A42" s="19" t="inlineStr">
        <is>
          <t xml:space="preserve">  SETTLED 2026-08-22: single-prime selections are deliberate acts. EIGHTFOLD! on 2 alone is fine.</t>
        </is>
      </c>
    </row>
    <row r="43">
      <c r="A43" s="19" t="inlineStr">
        <is>
          <t xml:space="preserve">  REST! now gilds 142 nodes, the largest set in the design, past SEXY! at 120.</t>
        </is>
      </c>
    </row>
    <row r="44">
      <c r="A44" s="19" t="inlineStr">
        <is>
          <t xml:space="preserve">  SUPERPRIME! needs eleven taps, the longest selection here.</t>
        </is>
      </c>
    </row>
    <row r="45">
      <c r="A45" s="19" t="inlineStr">
        <is>
          <t xml:space="preserve">  Series is still three members. Merge into Primes, or leave it thin?</t>
        </is>
      </c>
    </row>
    <row r="46">
      <c r="A46" s="19" t="inlineStr">
        <is>
          <t xml:space="preserve">  SIXES! gilds node 6 only; every multiple of 6 would be 166 nodes.</t>
        </is>
      </c>
    </row>
    <row r="47">
      <c r="A47" s="19" t="inlineStr">
        <is>
          <t xml:space="preserve">  XP set at 20. Verify whether Play Console constrains increments or a per-achievement maximum.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2026-08-22T16:00:33Z</dcterms:created>
  <dcterms:modified xsi:type="dcterms:W3CDTF">2026-08-22T16:04:16Z</dcterms:modified>
</cp:coreProperties>
</file>