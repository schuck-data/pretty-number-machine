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S89\Desktop\Pretty Number Machine\docs\"/>
    </mc:Choice>
  </mc:AlternateContent>
  <xr:revisionPtr revIDLastSave="0" documentId="13_ncr:1_{9380B22E-E387-4DE2-BA9E-FF65B30336C2}" xr6:coauthVersionLast="47" xr6:coauthVersionMax="47" xr10:uidLastSave="{00000000-0000-0000-0000-000000000000}"/>
  <bookViews>
    <workbookView xWindow="-120" yWindow="-120" windowWidth="29040" windowHeight="15720" xr2:uid="{00000000-000D-0000-FFFF-FFFF00000000}"/>
  </bookViews>
  <sheets>
    <sheet name="Achievements" sheetId="1" r:id="rId1"/>
    <sheet name="Summary" sheetId="2" r:id="rId2"/>
  </sheets>
  <definedNames>
    <definedName name="_xlnm._FilterDatabase" localSheetId="0" hidden="1">Achievements!$A$1:$M$81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D13" i="2" s="1"/>
  <c r="B12" i="2"/>
  <c r="D12" i="2" s="1"/>
  <c r="B11" i="2"/>
  <c r="D11" i="2" s="1"/>
  <c r="B10" i="2"/>
  <c r="D10" i="2" s="1"/>
  <c r="B9" i="2"/>
  <c r="D9" i="2" s="1"/>
  <c r="B8" i="2"/>
  <c r="D8" i="2" s="1"/>
  <c r="B7" i="2"/>
  <c r="D7" i="2" s="1"/>
  <c r="B6" i="2"/>
  <c r="D6" i="2" s="1"/>
  <c r="B5" i="2"/>
  <c r="D5" i="2" s="1"/>
  <c r="D14" i="2" l="1"/>
  <c r="B17" i="2" s="1"/>
  <c r="B14" i="2"/>
</calcChain>
</file>

<file path=xl/sharedStrings.xml><?xml version="1.0" encoding="utf-8"?>
<sst xmlns="http://schemas.openxmlformats.org/spreadsheetml/2006/main" count="736" uniqueCount="509">
  <si>
    <t>Branch</t>
  </si>
  <si>
    <t>Cluster</t>
  </si>
  <si>
    <t>Order</t>
  </si>
  <si>
    <t>ID</t>
  </si>
  <si>
    <t>Name</t>
  </si>
  <si>
    <t>Clue (in-app hint)</t>
  </si>
  <si>
    <t>Criteria (Play Console description)</t>
  </si>
  <si>
    <t>Gilds</t>
  </si>
  <si>
    <t>Gild count</t>
  </si>
  <si>
    <t>Blurb (optional)</t>
  </si>
  <si>
    <t>Status</t>
  </si>
  <si>
    <t>XP</t>
  </si>
  <si>
    <t>D notes</t>
  </si>
  <si>
    <t>Tutorial</t>
  </si>
  <si>
    <t>first</t>
  </si>
  <si>
    <t>FIRST!</t>
  </si>
  <si>
    <t>_switch it on_</t>
  </si>
  <si>
    <t>Switch achievements on from the achievements section.</t>
  </si>
  <si>
    <t>2</t>
  </si>
  <si>
    <t>Congratulations, you've unlocked the Achievements! As a reward, your trophy room view has a gilded 2. So shiny! So rewarding! How many more numbers can you gild? Only one way to find out! (In the world of Primes, 2 comes 1st.)</t>
  </si>
  <si>
    <t>kept</t>
  </si>
  <si>
    <t>exhaustive</t>
  </si>
  <si>
    <t>EXHAUSTIVE!</t>
  </si>
  <si>
    <t>_show the ones in between_</t>
  </si>
  <si>
    <t>Switch on all integers in range.</t>
  </si>
  <si>
    <t>1000</t>
  </si>
  <si>
    <t xml:space="preserve">You've discovered the many toggles that change the shape of the Pretty Number Machine. Nice! </t>
  </si>
  <si>
    <t>parawhat</t>
  </si>
  <si>
    <t>PARAWHAT?!</t>
  </si>
  <si>
    <t>_pe_RAS_te_kee_</t>
  </si>
  <si>
    <t>Turn on or adjust parastichy line visibility.</t>
  </si>
  <si>
    <t>137</t>
  </si>
  <si>
    <t>Counting by prime multiples looks cool, and visualizing them was the initial motivation for Pretty Number Machine. Now you get to see them at the touch of a button. This is the texture of the numberline implicit in the concept of quantity. You're unlocking the arcane mysteries of the universe on a phone app! The future is wild!</t>
  </si>
  <si>
    <t>art</t>
  </si>
  <si>
    <t>ART!</t>
  </si>
  <si>
    <t>_change how it looks, not what it is_</t>
  </si>
  <si>
    <t>Change any appearance setting.</t>
  </si>
  <si>
    <t>433</t>
  </si>
  <si>
    <t>Art cannot be explained, it must be EXPERIENCED!</t>
  </si>
  <si>
    <t>bophades</t>
  </si>
  <si>
    <t>ORBS!</t>
  </si>
  <si>
    <t>_so big_</t>
  </si>
  <si>
    <t>Take node size to its maximum.</t>
  </si>
  <si>
    <t>Wow, they're huge!</t>
  </si>
  <si>
    <t>maximalist</t>
  </si>
  <si>
    <t>MAXIMALIST!</t>
  </si>
  <si>
    <t>_push the slider all the way_</t>
  </si>
  <si>
    <t>Take the range slider to its maximum, 2500.</t>
  </si>
  <si>
    <t>999</t>
  </si>
  <si>
    <t>So many!</t>
  </si>
  <si>
    <t>ceiling</t>
  </si>
  <si>
    <t>CEILING!</t>
  </si>
  <si>
    <t>_the slider was lying_</t>
  </si>
  <si>
    <t>Set the range to 10000.</t>
  </si>
  <si>
    <t>997</t>
  </si>
  <si>
    <t xml:space="preserve">Okay let's not break your phone. </t>
  </si>
  <si>
    <t>zoomies</t>
  </si>
  <si>
    <t>ZOOMIES!</t>
  </si>
  <si>
    <t>_faster, all the way_</t>
  </si>
  <si>
    <t>Turn morph speed up to maximum.</t>
  </si>
  <si>
    <t>88, 121</t>
  </si>
  <si>
    <t>88 miles an hour, and 1.21 gigawatts.</t>
  </si>
  <si>
    <t>boing</t>
  </si>
  <si>
    <t>BOING!</t>
  </si>
  <si>
    <t>_wait for the bottom_</t>
  </si>
  <si>
    <t>Let the morph reach the Spring form.</t>
  </si>
  <si>
    <t>Boingyboingyboingy! 6 looks kinda like a spring, right?</t>
  </si>
  <si>
    <t>trippy</t>
  </si>
  <si>
    <t>TRIPPY!</t>
  </si>
  <si>
    <t>_there is a button for this_</t>
  </si>
  <si>
    <t>Press Dazzle.</t>
  </si>
  <si>
    <t xml:space="preserve">Far out dude, look at all the colors! You know, like, sunflowers are like a lotus if you really think about it man. Anyway, are you big into music? </t>
  </si>
  <si>
    <t>nerd</t>
  </si>
  <si>
    <t>NERD!</t>
  </si>
  <si>
    <t>_drag the classroom across_</t>
  </si>
  <si>
    <t>Open the classroom lens.</t>
  </si>
  <si>
    <t>42</t>
  </si>
  <si>
    <t>Knowing the name of a thing may not tell you much about its intrinsic nature, but precise jargon sure helps in conversation!</t>
  </si>
  <si>
    <t>ouch</t>
  </si>
  <si>
    <t>OUCH!</t>
  </si>
  <si>
    <t>_take hold of the Sun_</t>
  </si>
  <si>
    <t>With physics on, drag node 0.</t>
  </si>
  <si>
    <t>149</t>
  </si>
  <si>
    <t xml:space="preserve">Oof, you okay? Sun hot. </t>
  </si>
  <si>
    <t>oops</t>
  </si>
  <si>
    <t>OOPS!</t>
  </si>
  <si>
    <t>_make the springs disagree_</t>
  </si>
  <si>
    <t>Get 20 or more nodes further than twice their rest distance from the Sun.</t>
  </si>
  <si>
    <t>641</t>
  </si>
  <si>
    <t xml:space="preserve">Physics allows for stuff to get weird. </t>
  </si>
  <si>
    <t>night</t>
  </si>
  <si>
    <t>NIGHT!</t>
  </si>
  <si>
    <t>_put out the Sun_</t>
  </si>
  <si>
    <t>Switch off the zero node.</t>
  </si>
  <si>
    <t>354</t>
  </si>
  <si>
    <t>Uhh, who turned out the lights?</t>
  </si>
  <si>
    <t>void</t>
  </si>
  <si>
    <t>VOID!</t>
  </si>
  <si>
    <t>_take every prime away_</t>
  </si>
  <si>
    <t>Deselect every prime.</t>
  </si>
  <si>
    <t>nothing</t>
  </si>
  <si>
    <t>Turn off every prime and two numbers are left: 0 and 1. They are the only ones not built out of primes.</t>
  </si>
  <si>
    <t>empty-set</t>
  </si>
  <si>
    <t>EMPTY SET!</t>
  </si>
  <si>
    <t>_then take away what was left_</t>
  </si>
  <si>
    <t>Deselect every prime and switch off both 0 and 1.</t>
  </si>
  <si>
    <t>Math</t>
  </si>
  <si>
    <t>Series</t>
  </si>
  <si>
    <t>fibonacci</t>
  </si>
  <si>
    <t>FIBONACCI!</t>
  </si>
  <si>
    <t>_how nature counts_</t>
  </si>
  <si>
    <t>Select exactly the five Fibonacci primes and nothing else.</t>
  </si>
  <si>
    <t>Fibonacci numbers to 987</t>
  </si>
  <si>
    <t>The Fibonacci numbers are 1, 1, 2, 3, 5, 8, 13, 21 and so on. Add the last two to get the next. Can be found on the spirals of a pinecone.</t>
  </si>
  <si>
    <t>lucas</t>
  </si>
  <si>
    <t>LUCAS!</t>
  </si>
  <si>
    <t>_fibonacci, but different_</t>
  </si>
  <si>
    <t>Select exactly 2, 3, 7, 11, 29 and 47.</t>
  </si>
  <si>
    <t>Lucas numbers to 843</t>
  </si>
  <si>
    <t>The Lucas numbers follow the same rule as the Fibonacci numbers -- add the last two to get the next -- but start 2, 1 instead of 1, 1. You get a completely different sequence that still grows at the golden ratio. The two are twins: change only where you begin.</t>
  </si>
  <si>
    <t>perfect</t>
  </si>
  <si>
    <t>PERFECT!</t>
  </si>
  <si>
    <t>_equal to the sum of its parts_</t>
  </si>
  <si>
    <t>Select exactly 2, 3, 7 and 31.</t>
  </si>
  <si>
    <t>2, 3, 7, 31, 6, 28, 496</t>
  </si>
  <si>
    <t>A perfect number equals the sum of its proper divisors: 6 = 1+2+3, and 28 = 1+2+4+7+14. Euclid proved that 2^(p-1)(2^p - 1) is perfect whenever 2^p - 1 is prime, and Euler proved every even perfect number has that form. So each one is built from a Mersenne prime: 6 = 2x3, 28 = 4x7, 496 = 16x31. Only three exist below 1000; the next is 8128. Whether any odd perfect number exists is still open after two thousand years.</t>
  </si>
  <si>
    <t>Primes</t>
  </si>
  <si>
    <t>twinning</t>
  </si>
  <si>
    <t>TWINNING!</t>
  </si>
  <si>
    <t>_one even number between them_</t>
  </si>
  <si>
    <t>Select exactly two primes that differ by 2.</t>
  </si>
  <si>
    <t>all twin primes to 1000</t>
  </si>
  <si>
    <t>Twin primes are only 2 apart, like 11 and 13. Nobody knows whether they ever stop. People have been trying to find out since 1849.</t>
  </si>
  <si>
    <t>cousins</t>
  </si>
  <si>
    <t>COUSINS!</t>
  </si>
  <si>
    <t>_four apart_</t>
  </si>
  <si>
    <t>Select exactly two primes that differ by 4.</t>
  </si>
  <si>
    <t>all cousin primes to 1000</t>
  </si>
  <si>
    <t>Primes 4 apart are called cousins. That is the real name.</t>
  </si>
  <si>
    <t>sexy</t>
  </si>
  <si>
    <t>SEXY!</t>
  </si>
  <si>
    <t>_six apart, and that is the real name_</t>
  </si>
  <si>
    <t>Select exactly two primes that differ by 6.</t>
  </si>
  <si>
    <t>all sexy primes to 1000</t>
  </si>
  <si>
    <t>Primes 6 apart are called sexy primes. Sex is Latin for six. Mathematicians named these and nobody stopped them.</t>
  </si>
  <si>
    <t>reclued v3</t>
  </si>
  <si>
    <t>germain</t>
  </si>
  <si>
    <t>GERMAIN!</t>
  </si>
  <si>
    <t>_double it, add one_</t>
  </si>
  <si>
    <t>Select exactly two primes p and q where q = 2p+1.</t>
  </si>
  <si>
    <t>all Sophie Germain primes to 1000</t>
  </si>
  <si>
    <t>emirp</t>
  </si>
  <si>
    <t>EMIRP!</t>
  </si>
  <si>
    <t>_read it the other way_</t>
  </si>
  <si>
    <t>Select exactly two primes that are each other's digit reversal.</t>
  </si>
  <si>
    <t>all emirps to 1000</t>
  </si>
  <si>
    <t>Write a prime backwards. If you get a different prime, it is an emirp -- which is 'prime' spelled backwards. There are four pairs in the grid: 13 and 31, 17 and 71, 37 and 73, 79 and 97.</t>
  </si>
  <si>
    <t>mersenne</t>
  </si>
  <si>
    <t>MERSENNE!</t>
  </si>
  <si>
    <t>_one less than a power of two_</t>
  </si>
  <si>
    <t>Select exactly 3, 7, 31 and 127.</t>
  </si>
  <si>
    <t>3, 7, 31, 127</t>
  </si>
  <si>
    <t>Take a power of two and subtract one: 4-1 = 3, 8-1 = 7, 32-1 = 31, 128-1 = 127. When the result is prime it is called a Mersenne prime, and the exponent has to be prime for it to work at all. All four that fit in this grid are here. Every even perfect number is built from one of them.</t>
  </si>
  <si>
    <t>new</t>
  </si>
  <si>
    <t>fermat</t>
  </si>
  <si>
    <t>FERMAT!</t>
  </si>
  <si>
    <t>_one more than a power of two_</t>
  </si>
  <si>
    <t>Select exactly 3, 5 and 17.</t>
  </si>
  <si>
    <t>3, 5, 17, 255, 257</t>
  </si>
  <si>
    <t>neat</t>
  </si>
  <si>
    <t>NEAT!</t>
  </si>
  <si>
    <t>_almost a straight line_</t>
  </si>
  <si>
    <t>Two primes selected, one of them 89, with the range at least 178.</t>
  </si>
  <si>
    <t>89 and its parastichy line</t>
  </si>
  <si>
    <t>Each node sits a little further round the circle than the one before. Turn that far 89 times and you land almost exactly back where you started. So the multiples of 89 stack up in a nearly straight line -- the only spoke in the whole figure.</t>
  </si>
  <si>
    <t>louder</t>
  </si>
  <si>
    <t>LOUDER!</t>
  </si>
  <si>
    <t>Select exactly 11.</t>
  </si>
  <si>
    <t>11</t>
  </si>
  <si>
    <t>smart</t>
  </si>
  <si>
    <t>SMART!</t>
  </si>
  <si>
    <t>Select exactly 101 and view it through the classroom lens.</t>
  </si>
  <si>
    <t>101</t>
  </si>
  <si>
    <t>101 reads the same forwards and backwards. It is the smallest three-digit prime.</t>
  </si>
  <si>
    <t>new v3</t>
  </si>
  <si>
    <t>balanced</t>
  </si>
  <si>
    <t>BALANCED!</t>
  </si>
  <si>
    <t>_exactly halfway between its neighbours_</t>
  </si>
  <si>
    <t>Select exactly 5 and 53.</t>
  </si>
  <si>
    <t>5, 53</t>
  </si>
  <si>
    <t>5 sits exactly halfway between 3 and 7. 53 sits exactly halfway between 47 and 59. They are the only two primes in this grid that are the average of the primes on either side of them -- everywhere else the gap in front and the gap behind are different sizes.</t>
  </si>
  <si>
    <t>stride</t>
  </si>
  <si>
    <t>STRIDE!</t>
  </si>
  <si>
    <t>_the widest step_</t>
  </si>
  <si>
    <t>Select exactly 113 and 127.</t>
  </si>
  <si>
    <t>113, 127</t>
  </si>
  <si>
    <t>After 113 the next prime is 127. Fourteen numbers in a row with nothing prime among them, the widest gap anywhere in this grid. Gaps grow without limit, and you can force one as long as you like: take any n, and n!+2, n!+3, all the way to n!+n are every one of them composite, because n!+k always has k as a factor.</t>
  </si>
  <si>
    <t>all-prime</t>
  </si>
  <si>
    <t>_every digit too_</t>
  </si>
  <si>
    <t>Select exactly 2, 3, 5, 7, 23, 37, 53 and 73.</t>
  </si>
  <si>
    <t>2, 3, 5, 7, 23, 37, 53, 73</t>
  </si>
  <si>
    <t>2, 3, 5 and 7 are the prime digits. Eight primes in this grid are written with nothing else. Worth noticing that this is a fact about writing in base ten rather than about the numbers themselves -- change base and the set dissolves.</t>
  </si>
  <si>
    <t>Puzzles</t>
  </si>
  <si>
    <t>sixes</t>
  </si>
  <si>
    <t>SIXES!</t>
  </si>
  <si>
    <t>_every prime hides beside one_</t>
  </si>
  <si>
    <t>Select exactly 2 and 3.</t>
  </si>
  <si>
    <t>6 -- see note</t>
  </si>
  <si>
    <t>Every prime bigger than 3 is one away from a multiple of six. Look at the six numbers around any multiple of six: four of them are divisible by 2 or by 3, so only the two neighbours are left standing. Light up 2 and 3 and you can watch it happen -- every prime left on the board is sitting next to something lit.</t>
  </si>
  <si>
    <t>goldbach</t>
  </si>
  <si>
    <t>GOLDBACH!</t>
  </si>
  <si>
    <t>_two make an even_</t>
  </si>
  <si>
    <t>With the range set to an even number, select exactly two primes that add up to it.</t>
  </si>
  <si>
    <t>the two primes and their sum</t>
  </si>
  <si>
    <t>Every even number bigger than 2 seems to be the sum of two primes. 100 = 3 + 97. 232 = 101 + 131. Nobody has ever found an exception, and nobody has ever proved there isn't one -- it has been open since 1742. Eighteen of the even numbers you can reach here have exactly one answer.</t>
  </si>
  <si>
    <t>collatz</t>
  </si>
  <si>
    <t>COLLATZ!</t>
  </si>
  <si>
    <t>_the long way down_</t>
  </si>
  <si>
    <t>Select exactly 13 and 67.</t>
  </si>
  <si>
    <t>871</t>
  </si>
  <si>
    <t>Take any number. If it is even, halve it. If it is odd, triple it and add one. Repeat. Everything anyone has ever tried falls to 1 eventually, and nobody can prove it always will. 871 takes 178 steps to get there, the longest of anything under a thousand.</t>
  </si>
  <si>
    <t>run</t>
  </si>
  <si>
    <t>RUN!</t>
  </si>
  <si>
    <t>_a run of them adds up to another_</t>
  </si>
  <si>
    <t>Select three or more primes in a row together with the prime they add up to.</t>
  </si>
  <si>
    <t>the run and its total</t>
  </si>
  <si>
    <t>Primes standing next to each other can add up to another prime. 17 = 2+3+5+7. 41 = 11+13+17. And 127 = 3+5+7+11+13+17+19+23+29, a run of nine. There are sixteen of these to find in the grid if you use at least three in a row.</t>
  </si>
  <si>
    <t>stairs</t>
  </si>
  <si>
    <t>STAIRS!</t>
  </si>
  <si>
    <t>_three evenly spaced_</t>
  </si>
  <si>
    <t>Select exactly three primes that are evenly spaced.</t>
  </si>
  <si>
    <t>3, 5, 7</t>
  </si>
  <si>
    <t>3, 5 and 7 climb in equal steps of two, and they are the only three primes in a row that ever can be -- take any three odd numbers two apart and one of them is always a multiple of 3. Evenly spaced runs of primes do exist at every length, though, and that they go on forever was only proved in 2004.</t>
  </si>
  <si>
    <t>square-up</t>
  </si>
  <si>
    <t>SQUARE UP!</t>
  </si>
  <si>
    <t>_two that add to a square_</t>
  </si>
  <si>
    <t>Select exactly two primes that add up to a square number.</t>
  </si>
  <si>
    <t>9, 16, 25, 36, 49, 64, 81, 100, 144, 196</t>
  </si>
  <si>
    <t>2 + 7 = 9. 5 + 11 = 16. 13 + 23 = 36. Ten squares can be reached by adding two primes from this grid, and it is worth looking at which. The odd squares -- 9, 25, 49, 81 -- can only be reached when one of your two primes is 2, because every other prime is odd and two odd numbers always add to an even one.</t>
  </si>
  <si>
    <t>Culture</t>
  </si>
  <si>
    <t>Meme</t>
  </si>
  <si>
    <t>nice</t>
  </si>
  <si>
    <t>NICE!</t>
  </si>
  <si>
    <t>_nice_</t>
  </si>
  <si>
    <t>Select exactly 3 and 23.</t>
  </si>
  <si>
    <t>69</t>
  </si>
  <si>
    <t>nice.</t>
  </si>
  <si>
    <t>dude</t>
  </si>
  <si>
    <t>DUDE!</t>
  </si>
  <si>
    <t>_what was I saying?_</t>
  </si>
  <si>
    <t>Select exactly 2, 3, 5 and 7.</t>
  </si>
  <si>
    <t>420</t>
  </si>
  <si>
    <t>meme</t>
  </si>
  <si>
    <t>MEME!</t>
  </si>
  <si>
    <t>_kids these days_</t>
  </si>
  <si>
    <t>Select exactly 67.</t>
  </si>
  <si>
    <t>67</t>
  </si>
  <si>
    <t>67 has no twin. Neither 65 nor 69 is prime, so it sits on its own.</t>
  </si>
  <si>
    <t>oil</t>
  </si>
  <si>
    <t>OIL!</t>
  </si>
  <si>
    <t>_upside down_</t>
  </si>
  <si>
    <t>Select exactly 2, 5 and 71.</t>
  </si>
  <si>
    <t>710</t>
  </si>
  <si>
    <t>not-found</t>
  </si>
  <si>
    <t>NOT FOUND!</t>
  </si>
  <si>
    <t>_missing_</t>
  </si>
  <si>
    <t>Select exactly 2 and 101.</t>
  </si>
  <si>
    <t>404</t>
  </si>
  <si>
    <t>404 is the code a server sends when the thing you asked for is not there. It is also the area code for Atlanta.</t>
  </si>
  <si>
    <t>teapot</t>
  </si>
  <si>
    <t>TEAPOT!</t>
  </si>
  <si>
    <t>_short and stout_</t>
  </si>
  <si>
    <t>Select exactly 2, 11 and 19.</t>
  </si>
  <si>
    <t>418</t>
  </si>
  <si>
    <t>HTTP 418 is a real, published status code meaning 'I'm a teapot'. It was written as an April Fool's joke in 1998 and people have been refusing to remove it ever since.</t>
  </si>
  <si>
    <t>catch</t>
  </si>
  <si>
    <t>CATCH!</t>
  </si>
  <si>
    <t>_damned either way_</t>
  </si>
  <si>
    <t>Select exactly 2 and 11.</t>
  </si>
  <si>
    <t>22</t>
  </si>
  <si>
    <t>route</t>
  </si>
  <si>
    <t>ROUTE!</t>
  </si>
  <si>
    <t>_get your kicks_</t>
  </si>
  <si>
    <t>Select exactly 2, 3 and 11.</t>
  </si>
  <si>
    <t>66</t>
  </si>
  <si>
    <t>cards</t>
  </si>
  <si>
    <t>CARDS!</t>
  </si>
  <si>
    <t>_hit me_</t>
  </si>
  <si>
    <t>Select exactly 3 and 7.</t>
  </si>
  <si>
    <t>21</t>
  </si>
  <si>
    <t>jackpot</t>
  </si>
  <si>
    <t>JACKPOT!</t>
  </si>
  <si>
    <t>_three of a kind_</t>
  </si>
  <si>
    <t>Select exactly 3, 7 and 37.</t>
  </si>
  <si>
    <t>777</t>
  </si>
  <si>
    <t>heinz</t>
  </si>
  <si>
    <t>HEINZ!</t>
  </si>
  <si>
    <t>_varieties_</t>
  </si>
  <si>
    <t>Select exactly 3 and 19.</t>
  </si>
  <si>
    <t>57</t>
  </si>
  <si>
    <t>57 varieties, yes. But 57 is also the Grothendieck prime: one of the greatest mathematicians of the century, asked for an example of a prime number, said 57. It is not one, and here you can watch it come apart into 3 x 19.</t>
  </si>
  <si>
    <t>slurpee</t>
  </si>
  <si>
    <t>SLURPEE!</t>
  </si>
  <si>
    <t>_any time_</t>
  </si>
  <si>
    <t>Select exactly 3 and 79.</t>
  </si>
  <si>
    <t>711</t>
  </si>
  <si>
    <t>sparta</t>
  </si>
  <si>
    <t>SPARTA!</t>
  </si>
  <si>
    <t>_this is_</t>
  </si>
  <si>
    <t>Select exactly 2, 3 and 5.</t>
  </si>
  <si>
    <t>300</t>
  </si>
  <si>
    <t>jumbo</t>
  </si>
  <si>
    <t>JUMBO!</t>
  </si>
  <si>
    <t>_upper deck_</t>
  </si>
  <si>
    <t>Select exactly 3 and 83.</t>
  </si>
  <si>
    <t>747</t>
  </si>
  <si>
    <t>bradbury</t>
  </si>
  <si>
    <t>BRADBURY!</t>
  </si>
  <si>
    <t>_burning point_</t>
  </si>
  <si>
    <t>Select exactly 11 and 41.</t>
  </si>
  <si>
    <t>451</t>
  </si>
  <si>
    <t>The temperature at which paper catches fire, and the title of Bradbury's novel about burning books. HTTP 451 borrows it for content blocked for legal reasons.</t>
  </si>
  <si>
    <t>Lore</t>
  </si>
  <si>
    <t>beast</t>
  </si>
  <si>
    <t>BEAST!</t>
  </si>
  <si>
    <t>_number of a man_</t>
  </si>
  <si>
    <t>Select exactly 2, 3 and 37.</t>
  </si>
  <si>
    <t>666</t>
  </si>
  <si>
    <t>angel</t>
  </si>
  <si>
    <t>ANGEL!</t>
  </si>
  <si>
    <t>_a repeating message_</t>
  </si>
  <si>
    <t>Select exactly 2, 3, 5, 7 and 37.</t>
  </si>
  <si>
    <t>111, 222, 333, 444, 555, 666, 777, 888, 999</t>
  </si>
  <si>
    <t>Repeated digits are read as messages in some numerology. Every one of them is a multiple of 111, and 111 is 3 x 37 -- so 37 is hiding inside all nine. The five primes you selected are exactly the ones needed to build the whole set: 5 appears only in 555, and 7 only in 777.</t>
  </si>
  <si>
    <t>lucky</t>
  </si>
  <si>
    <t>LUCKY!</t>
  </si>
  <si>
    <t>_seventh heaven_</t>
  </si>
  <si>
    <t>Select exactly 7.</t>
  </si>
  <si>
    <t>7</t>
  </si>
  <si>
    <t>unlucky</t>
  </si>
  <si>
    <t>UNLUCKY!</t>
  </si>
  <si>
    <t>_no thirteenth floor_</t>
  </si>
  <si>
    <t>Select exactly 13.</t>
  </si>
  <si>
    <t>13</t>
  </si>
  <si>
    <t>Fear of thirteen is common enough to have a name -- triskaidekaphobia -- and common enough that plenty of buildings label the floor above twelve as fourteen.</t>
  </si>
  <si>
    <t>enigma</t>
  </si>
  <si>
    <t>ENIGMA!</t>
  </si>
  <si>
    <t>_fnord_</t>
  </si>
  <si>
    <t>Select exactly 23.</t>
  </si>
  <si>
    <t>23</t>
  </si>
  <si>
    <t>masonic</t>
  </si>
  <si>
    <t>MASONIC!</t>
  </si>
  <si>
    <t>_the highest degree_</t>
  </si>
  <si>
    <t>Select exactly 3 and 11.</t>
  </si>
  <si>
    <t>33</t>
  </si>
  <si>
    <t>thelema</t>
  </si>
  <si>
    <t>THELEMA!</t>
  </si>
  <si>
    <t>_do what thou wilt_</t>
  </si>
  <si>
    <t>Select exactly 3 and 31.</t>
  </si>
  <si>
    <t>93</t>
  </si>
  <si>
    <t>other-beast</t>
  </si>
  <si>
    <t>OTHER BEAST!</t>
  </si>
  <si>
    <t>_the older manuscript_</t>
  </si>
  <si>
    <t>Select exactly 2, 7 and 11.</t>
  </si>
  <si>
    <t>616</t>
  </si>
  <si>
    <t>The oldest surviving fragment of Revelation gives the number as 616, not 666. Both readings circulated in antiquity.</t>
  </si>
  <si>
    <t>central</t>
  </si>
  <si>
    <t>CENTRAL!</t>
  </si>
  <si>
    <t>_the number that never rings_</t>
  </si>
  <si>
    <t>Select exactly 3, 5 and 37.</t>
  </si>
  <si>
    <t>555</t>
  </si>
  <si>
    <t>North American phone numbers beginning 555 are reserved, which is why every telephone number in a film or on television starts that way.</t>
  </si>
  <si>
    <t>Geek</t>
  </si>
  <si>
    <t>trek</t>
  </si>
  <si>
    <t>1701!</t>
  </si>
  <si>
    <t>_deck 47, sector 47_</t>
  </si>
  <si>
    <t>Select exactly 47.</t>
  </si>
  <si>
    <t>47</t>
  </si>
  <si>
    <t>A writer on Star Trek had been at a college with a running joke that 47 turns up more often than chance allows. He started putting it in scripts, and it never left.</t>
  </si>
  <si>
    <t>localhost</t>
  </si>
  <si>
    <t>LOCALHOST!</t>
  </si>
  <si>
    <t>_no place like it_</t>
  </si>
  <si>
    <t>Select exactly 127, with the range set to 127.</t>
  </si>
  <si>
    <t>127</t>
  </si>
  <si>
    <t>127 is the biggest number a computer can hold in one byte if it also needs room for a minus sign. It is also the address a computer uses to talk to itself.</t>
  </si>
  <si>
    <t>rawr</t>
  </si>
  <si>
    <t>RAWR!</t>
  </si>
  <si>
    <t>_so random_</t>
  </si>
  <si>
    <t>Select exactly 17.</t>
  </si>
  <si>
    <t>17</t>
  </si>
  <si>
    <t>Ask people to pick a random number from 1 to 20 and more of them say 17 than anything else. Ask for 1 to 100 and they say 37.</t>
  </si>
  <si>
    <t>best</t>
  </si>
  <si>
    <t>BEST!</t>
  </si>
  <si>
    <t>_the twenty_first, reflected_</t>
  </si>
  <si>
    <t>Select exactly 37 and 73.</t>
  </si>
  <si>
    <t>37, 73</t>
  </si>
  <si>
    <t>73 is the 21st prime. 21 is 7 times 3. Flip 73 around and you get 37, which is the 12th prime -- and 12 is 21 flipped around.</t>
  </si>
  <si>
    <t>concert-a</t>
  </si>
  <si>
    <t>CONCERT A!</t>
  </si>
  <si>
    <t>_tune up_</t>
  </si>
  <si>
    <t>Select exactly 2, 5 and 11.</t>
  </si>
  <si>
    <t>440</t>
  </si>
  <si>
    <t>The A above middle C, at 440 hertz, is what an orchestra tunes to. It was only fixed by international agreement in 1955.</t>
  </si>
  <si>
    <t>lightspeed</t>
  </si>
  <si>
    <t>LIGHTSPEED!</t>
  </si>
  <si>
    <t>_in a vacuum_</t>
  </si>
  <si>
    <t>Select exactly 13 and 23.</t>
  </si>
  <si>
    <t>299</t>
  </si>
  <si>
    <t>Light travels 299,792,458 metres every second, and that number is exact -- since 1983 the metre has been defined by it rather than the other way round.</t>
  </si>
  <si>
    <t>memory</t>
  </si>
  <si>
    <t>MEMORY!</t>
  </si>
  <si>
    <t>_ought to be enough_</t>
  </si>
  <si>
    <t>Select exactly 2 and 5.</t>
  </si>
  <si>
    <t>640</t>
  </si>
  <si>
    <t>ny</t>
  </si>
  <si>
    <t>NY!</t>
  </si>
  <si>
    <t>_NY_</t>
  </si>
  <si>
    <t>Select exactly 2 and 53.</t>
  </si>
  <si>
    <t>212</t>
  </si>
  <si>
    <t>space-city</t>
  </si>
  <si>
    <t>SPACE CITY!</t>
  </si>
  <si>
    <t>_we have a problem_</t>
  </si>
  <si>
    <t>Select exactly 23 and 31.</t>
  </si>
  <si>
    <t>713</t>
  </si>
  <si>
    <t>graceland</t>
  </si>
  <si>
    <t>GRACELAND!</t>
  </si>
  <si>
    <t>_the king_</t>
  </si>
  <si>
    <t>Select exactly 17 and 53.</t>
  </si>
  <si>
    <t>901</t>
  </si>
  <si>
    <t>Greeks</t>
  </si>
  <si>
    <t>phi</t>
  </si>
  <si>
    <t>PHI!</t>
  </si>
  <si>
    <t>_the angle nature picks_</t>
  </si>
  <si>
    <t>Set the divergence angle to the golden angle.</t>
  </si>
  <si>
    <t>161</t>
  </si>
  <si>
    <t>The golden angle is what you get when you divide a full turn in the golden ratio: about 137.5 degrees. It is the angle a sunflower uses, because it is the angle least well approximated by any simple fraction -- so consecutive seeds never fall into a small number of spokes, at any scale. This whole figure is built on it. 1.618 is the golden ratio itself.</t>
  </si>
  <si>
    <t>pi</t>
  </si>
  <si>
    <t>PI!</t>
  </si>
  <si>
    <t>_half a turn_</t>
  </si>
  <si>
    <t>Set the divergence angle to 180 degrees.</t>
  </si>
  <si>
    <t>314</t>
  </si>
  <si>
    <t>Set the divergence to half a turn and the figure collapses into two arms, because every second node lands in the same place. That is what a rational angle does, and it is exactly what the golden angle avoids.</t>
  </si>
  <si>
    <t>tau</t>
  </si>
  <si>
    <t>TAU!</t>
  </si>
  <si>
    <t>_the whole turn_</t>
  </si>
  <si>
    <t>Set the divergence angle to a full turn.</t>
  </si>
  <si>
    <t>628</t>
  </si>
  <si>
    <t>Tau is two pi -- one whole turn. Set the divergence there and every node lands on top of the last one, collapsing the figure to a single spoke. Some argue tau should have been the circle constant all along, since a turn is the thing you actually measure.</t>
  </si>
  <si>
    <t>Capstone</t>
  </si>
  <si>
    <t>unity</t>
  </si>
  <si>
    <t>UNITY!</t>
  </si>
  <si>
    <t>_everything else, first_</t>
  </si>
  <si>
    <t>Earn every other achievement.</t>
  </si>
  <si>
    <t>1, and the flood</t>
  </si>
  <si>
    <t>1 is not prime, and it is not built out of primes either. It is called the unit -- the thing you count with. You get it last because you have to get everything else first, and when you do, every gilded prime finally gets its line and all of its multiples.</t>
  </si>
  <si>
    <t>Pretty Number Machine - achievements v3</t>
  </si>
  <si>
    <t>Draft, 2026-08-22. Math branch rebuilt so every trigger is solvable from the clue and the panel.</t>
  </si>
  <si>
    <t>Count</t>
  </si>
  <si>
    <t>XP each</t>
  </si>
  <si>
    <t>XP total</t>
  </si>
  <si>
    <t>TOTAL</t>
  </si>
  <si>
    <t>Play Games XP cap</t>
  </si>
  <si>
    <t>Held in reserve</t>
  </si>
  <si>
    <t>WHAT CHANGED IN V3</t>
  </si>
  <si>
    <t>The Math branch was rebuilt around one rule: the trigger must be the idea, performed. A clue you can</t>
  </si>
  <si>
    <t>solve by looking at the panel, not by arriving with the answer.</t>
  </si>
  <si>
    <t>CUT (12): TRIANGULAR!, SQUARES!, CUBES!, DOUBLE!, FACTORIAL!, RAMANUJAN!, EUCLID!, AMICABLE!, HAPPY!, EULER!, DESERT!, NIXED!</t>
  </si>
  <si>
    <t xml:space="preserve">  Every set-the-range trigger went. Typing 990 into a slider is entering a password, not doing mathematics,</t>
  </si>
  <si>
    <t xml:space="preserve">  and unlike a selection trigger the preview cannot make it inferable.</t>
  </si>
  <si>
    <t xml:space="preserve">  AMICABLE! went because its two-node preview is ambiguous about which node to factor.</t>
  </si>
  <si>
    <t xml:space="preserve">  EULER! and HAPPY! went because both require arriving with outside knowledge.</t>
  </si>
  <si>
    <t xml:space="preserve">  NIXED! went at Dakota's call -- EMPTY SET! took 86.</t>
  </si>
  <si>
    <t>NEW (8): JUST UNDER!, JUST OVER!, BALANCED!, STRIDE!, ALL PRIME!, RUN!, STAIRS!, SQUARE UP!</t>
  </si>
  <si>
    <t xml:space="preserve">  All eight verified against the grid: the answers exist, and no selection clashes with an existing trigger.</t>
  </si>
  <si>
    <t>RECLUED (2): SEXY! -- the old clue gave the etymology, not the property.</t>
  </si>
  <si>
    <t xml:space="preserve">  FERMAT! -- now -one more than a power of two-, mirroring MERSENNE!. Verified 3, 5, 17 are the only ones.</t>
  </si>
  <si>
    <t>THE MATHEMATICS DID NOT DIE, IT MOVED INTO BLURBS.</t>
  </si>
  <si>
    <t xml:space="preserve">  Divisor parity (cut SQUARES!) is now the point of JUST UNDER! and JUST OVER!.</t>
  </si>
  <si>
    <t xml:space="preserve">  Euclid's factorial gap construction (cut DESERT! and EUCLID!) is now in STRIDE!'s blurb.</t>
  </si>
  <si>
    <t>OPEN</t>
  </si>
  <si>
    <t xml:space="preserve">  Series is down to three members (FIBONACCI!, LUCAS!, PERFECT!). Merge into Primes, or leave it thin?</t>
  </si>
  <si>
    <t xml:space="preserve">  JUST UNDER! triggers on selecting 3 alone, which a player may hit by accident while exploring.</t>
  </si>
  <si>
    <t xml:space="preserve">  SIXES! gilds node 6 only. Every multiple of 6 would be 166 nodes, more than SEXY! at 120.</t>
  </si>
  <si>
    <t xml:space="preserve">  RUN! and SQUARE UP! are relational, so their gild sets are written as descriptions, not fixed lists.</t>
  </si>
  <si>
    <t xml:space="preserve">  XP is set at 20. Verify whether Play Console constrains increments or a per-achievement maximum.</t>
  </si>
  <si>
    <t xml:space="preserve">(empty set symbol). Not zero, nothing. Null. Zilch. </t>
  </si>
  <si>
    <t>Pick a prime, double it, add 1. If that is prime too, the first one is a Sophie Germain prime. Sophie Germain had to sign her work with a man's name to get anyone to read it.</t>
  </si>
  <si>
    <t>3, 5 and 17 are each one more than a power of two: 2+1, 4+1, 16+1. Fermat believed every number of that shape was prime.</t>
  </si>
  <si>
    <t>_these ones go to_</t>
  </si>
  <si>
    <t>_intro class_</t>
  </si>
  <si>
    <t>SUPERPRIME!</t>
  </si>
  <si>
    <t xml:space="preserve">I'm hungry, you hungry? </t>
  </si>
  <si>
    <t xml:space="preserve">5318008 was out of scope. </t>
  </si>
  <si>
    <t>help</t>
  </si>
  <si>
    <t>HELP!</t>
  </si>
  <si>
    <t>_dial_</t>
  </si>
  <si>
    <t>Set range to 911</t>
  </si>
  <si>
    <t xml:space="preserve">The number of the beast, from Revelation. It is also the sum of the squares of the first seven primes: 4 + 9 + 25 + 49 + 121 + 169 + 289 = 666. </t>
  </si>
  <si>
    <t>REST!</t>
  </si>
  <si>
    <t>rest</t>
  </si>
  <si>
    <t>…and on the 7th day…</t>
  </si>
  <si>
    <t>Tele</t>
  </si>
  <si>
    <t xml:space="preserve">Let's add 5 notable area codes as set-range-to. Because you have to know a number to make a call. So it's thematic and ludonarrative. These are in a tele category, or phone? </t>
  </si>
  <si>
    <t>Select exactly every multiple of 7</t>
  </si>
  <si>
    <t>_gotta take breaks_</t>
  </si>
  <si>
    <t>add to tele category</t>
  </si>
  <si>
    <t xml:space="preserve">8 fold path or something? Maybe expand lore section. </t>
  </si>
  <si>
    <t xml:space="preserve">Oh, they're here. </t>
  </si>
  <si>
    <t>these need blurbs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</si>
</sst>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ont>
    <font>
      <sz val="10"/>
      <name val="Arial"/>
    </font>
    <font>
      <b/>
      <sz val="10"/>
      <name val="Arial"/>
    </font>
    <font>
      <b/>
      <sz val="14"/>
      <name val="Arial"/>
    </font>
    <font>
      <i/>
      <sz val="10"/>
      <name val="Arial"/>
    </font>
    <font>
      <sz val="10"/>
      <color rgb="FF0000FF"/>
      <name val="Arial"/>
    </font>
  </fonts>
  <fills count="8">
    <fill>
      <patternFill patternType="none"/>
    </fill>
    <fill>
      <patternFill patternType="gray125"/>
    </fill>
    <fill>
      <patternFill patternType="solid">
        <fgColor rgb="FF1F3864"/>
      </patternFill>
    </fill>
    <fill>
      <patternFill patternType="solid">
        <fgColor rgb="FFE8F1DE"/>
      </patternFill>
    </fill>
    <fill>
      <patternFill patternType="solid">
        <fgColor rgb="FFDEEAF6"/>
      </patternFill>
    </fill>
    <fill>
      <patternFill patternType="solid">
        <fgColor rgb="FFFFF2CC"/>
      </patternFill>
    </fill>
    <fill>
      <patternFill patternType="solid">
        <fgColor rgb="FFFDE9D9"/>
      </patternFill>
    </fill>
    <fill>
      <patternFill patternType="solid">
        <fgColor rgb="FFF2E1F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xf>
    <xf numFmtId="0" fontId="2" fillId="0" borderId="1" xfId="0" applyFont="1" applyBorder="1" applyAlignment="1">
      <alignment horizontal="center" vertical="top"/>
    </xf>
    <xf numFmtId="0" fontId="2" fillId="0" borderId="1" xfId="0" applyFont="1" applyBorder="1" applyAlignment="1">
      <alignment horizontal="left" vertical="top"/>
    </xf>
    <xf numFmtId="0" fontId="3" fillId="0" borderId="1" xfId="0" applyFont="1" applyBorder="1" applyAlignment="1">
      <alignment horizontal="left" vertical="top"/>
    </xf>
    <xf numFmtId="0" fontId="2" fillId="0" borderId="1" xfId="0" applyFont="1" applyBorder="1" applyAlignment="1">
      <alignment horizontal="left" vertical="top" wrapText="1"/>
    </xf>
    <xf numFmtId="0" fontId="2" fillId="4" borderId="1" xfId="0" applyFont="1" applyFill="1" applyBorder="1" applyAlignment="1">
      <alignment horizontal="left" vertical="top"/>
    </xf>
    <xf numFmtId="0" fontId="3" fillId="5" borderId="1" xfId="0" applyFont="1" applyFill="1" applyBorder="1" applyAlignment="1">
      <alignment horizontal="left" vertical="top"/>
    </xf>
    <xf numFmtId="0" fontId="2" fillId="5" borderId="1" xfId="0" applyFont="1" applyFill="1" applyBorder="1" applyAlignment="1">
      <alignment horizontal="left" vertical="top"/>
    </xf>
    <xf numFmtId="0" fontId="2" fillId="6" borderId="1" xfId="0" applyFont="1" applyFill="1" applyBorder="1" applyAlignment="1">
      <alignment horizontal="left" vertical="top"/>
    </xf>
    <xf numFmtId="0" fontId="2" fillId="7" borderId="1" xfId="0" applyFont="1" applyFill="1" applyBorder="1" applyAlignment="1">
      <alignment horizontal="left" vertical="top"/>
    </xf>
    <xf numFmtId="0" fontId="4" fillId="0" borderId="0" xfId="0" applyFont="1"/>
    <xf numFmtId="0" fontId="5" fillId="0" borderId="0" xfId="0" applyFont="1"/>
    <xf numFmtId="0" fontId="1" fillId="2" borderId="1" xfId="0" applyFont="1" applyFill="1" applyBorder="1" applyAlignment="1">
      <alignment horizontal="center"/>
    </xf>
    <xf numFmtId="0" fontId="2" fillId="0" borderId="1" xfId="0" applyFont="1" applyBorder="1"/>
    <xf numFmtId="0" fontId="3" fillId="0" borderId="1" xfId="0" applyFont="1" applyBorder="1"/>
    <xf numFmtId="0" fontId="0" fillId="0" borderId="1" xfId="0" applyBorder="1"/>
    <xf numFmtId="0" fontId="6"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1"/>
  <sheetViews>
    <sheetView tabSelected="1" workbookViewId="0">
      <pane xSplit="4" ySplit="1" topLeftCell="E72" activePane="bottomRight" state="frozen"/>
      <selection pane="topRight"/>
      <selection pane="bottomLeft"/>
      <selection pane="bottomRight" activeCell="M80" sqref="M80"/>
    </sheetView>
  </sheetViews>
  <sheetFormatPr defaultRowHeight="15" x14ac:dyDescent="0.25"/>
  <cols>
    <col min="1" max="2" width="10" customWidth="1"/>
    <col min="3" max="3" width="7" customWidth="1"/>
    <col min="4" max="4" width="13" customWidth="1"/>
    <col min="5" max="5" width="15" customWidth="1"/>
    <col min="6" max="6" width="32" customWidth="1"/>
    <col min="7" max="7" width="44" customWidth="1"/>
    <col min="8" max="8" width="26" customWidth="1"/>
    <col min="9" max="9" width="8" customWidth="1"/>
    <col min="10" max="10" width="76" customWidth="1"/>
    <col min="11" max="11" width="11" customWidth="1"/>
    <col min="12" max="12" width="6" customWidth="1"/>
    <col min="13" max="13" width="34" customWidth="1"/>
  </cols>
  <sheetData>
    <row r="1" spans="1:13" ht="33.950000000000003"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38.25" x14ac:dyDescent="0.25">
      <c r="A2" s="2" t="s">
        <v>13</v>
      </c>
      <c r="B2" s="2" t="s">
        <v>13</v>
      </c>
      <c r="C2" s="3">
        <v>1</v>
      </c>
      <c r="D2" s="4" t="s">
        <v>14</v>
      </c>
      <c r="E2" s="5" t="s">
        <v>15</v>
      </c>
      <c r="F2" s="6" t="s">
        <v>16</v>
      </c>
      <c r="G2" s="6" t="s">
        <v>17</v>
      </c>
      <c r="H2" s="6" t="s">
        <v>18</v>
      </c>
      <c r="I2" s="3">
        <v>1</v>
      </c>
      <c r="J2" s="6" t="s">
        <v>19</v>
      </c>
      <c r="K2" s="4" t="s">
        <v>20</v>
      </c>
      <c r="L2" s="3">
        <v>20</v>
      </c>
      <c r="M2" s="6"/>
    </row>
    <row r="3" spans="1:13" ht="25.5" x14ac:dyDescent="0.25">
      <c r="A3" s="2" t="s">
        <v>13</v>
      </c>
      <c r="B3" s="2" t="s">
        <v>13</v>
      </c>
      <c r="C3" s="3">
        <v>2</v>
      </c>
      <c r="D3" s="4" t="s">
        <v>21</v>
      </c>
      <c r="E3" s="5" t="s">
        <v>22</v>
      </c>
      <c r="F3" s="6" t="s">
        <v>23</v>
      </c>
      <c r="G3" s="6" t="s">
        <v>24</v>
      </c>
      <c r="H3" s="6" t="s">
        <v>25</v>
      </c>
      <c r="I3" s="3">
        <v>1</v>
      </c>
      <c r="J3" s="6" t="s">
        <v>26</v>
      </c>
      <c r="K3" s="4" t="s">
        <v>20</v>
      </c>
      <c r="L3" s="3">
        <v>20</v>
      </c>
      <c r="M3" s="6"/>
    </row>
    <row r="4" spans="1:13" ht="51" x14ac:dyDescent="0.25">
      <c r="A4" s="2" t="s">
        <v>13</v>
      </c>
      <c r="B4" s="2" t="s">
        <v>13</v>
      </c>
      <c r="C4" s="3">
        <v>3</v>
      </c>
      <c r="D4" s="4" t="s">
        <v>27</v>
      </c>
      <c r="E4" s="5" t="s">
        <v>28</v>
      </c>
      <c r="F4" s="6" t="s">
        <v>29</v>
      </c>
      <c r="G4" s="6" t="s">
        <v>30</v>
      </c>
      <c r="H4" s="6" t="s">
        <v>31</v>
      </c>
      <c r="I4" s="3">
        <v>1</v>
      </c>
      <c r="J4" s="6" t="s">
        <v>32</v>
      </c>
      <c r="K4" s="4" t="s">
        <v>20</v>
      </c>
      <c r="L4" s="3">
        <v>20</v>
      </c>
      <c r="M4" s="6"/>
    </row>
    <row r="5" spans="1:13" x14ac:dyDescent="0.25">
      <c r="A5" s="2" t="s">
        <v>13</v>
      </c>
      <c r="B5" s="2" t="s">
        <v>13</v>
      </c>
      <c r="C5" s="3">
        <v>4</v>
      </c>
      <c r="D5" s="4" t="s">
        <v>33</v>
      </c>
      <c r="E5" s="5" t="s">
        <v>34</v>
      </c>
      <c r="F5" s="6" t="s">
        <v>35</v>
      </c>
      <c r="G5" s="6" t="s">
        <v>36</v>
      </c>
      <c r="H5" s="6" t="s">
        <v>37</v>
      </c>
      <c r="I5" s="3">
        <v>1</v>
      </c>
      <c r="J5" s="6" t="s">
        <v>38</v>
      </c>
      <c r="K5" s="4" t="s">
        <v>20</v>
      </c>
      <c r="L5" s="3">
        <v>20</v>
      </c>
      <c r="M5" s="6"/>
    </row>
    <row r="6" spans="1:13" x14ac:dyDescent="0.25">
      <c r="A6" s="2" t="s">
        <v>13</v>
      </c>
      <c r="B6" s="2" t="s">
        <v>13</v>
      </c>
      <c r="C6" s="3">
        <v>5</v>
      </c>
      <c r="D6" s="4" t="s">
        <v>39</v>
      </c>
      <c r="E6" s="5" t="s">
        <v>40</v>
      </c>
      <c r="F6" s="6" t="s">
        <v>41</v>
      </c>
      <c r="G6" s="6" t="s">
        <v>42</v>
      </c>
      <c r="H6" s="6">
        <v>8</v>
      </c>
      <c r="I6" s="3">
        <v>1</v>
      </c>
      <c r="J6" s="6" t="s">
        <v>43</v>
      </c>
      <c r="K6" s="4" t="s">
        <v>20</v>
      </c>
      <c r="L6" s="3">
        <v>20</v>
      </c>
      <c r="M6" s="6"/>
    </row>
    <row r="7" spans="1:13" x14ac:dyDescent="0.25">
      <c r="A7" s="2" t="s">
        <v>13</v>
      </c>
      <c r="B7" s="2" t="s">
        <v>13</v>
      </c>
      <c r="C7" s="3">
        <v>6</v>
      </c>
      <c r="D7" s="4" t="s">
        <v>44</v>
      </c>
      <c r="E7" s="5" t="s">
        <v>45</v>
      </c>
      <c r="F7" s="6" t="s">
        <v>46</v>
      </c>
      <c r="G7" s="6" t="s">
        <v>47</v>
      </c>
      <c r="H7" s="6" t="s">
        <v>48</v>
      </c>
      <c r="I7" s="3">
        <v>1</v>
      </c>
      <c r="J7" s="6" t="s">
        <v>49</v>
      </c>
      <c r="K7" s="4" t="s">
        <v>20</v>
      </c>
      <c r="L7" s="3">
        <v>20</v>
      </c>
      <c r="M7" s="6"/>
    </row>
    <row r="8" spans="1:13" x14ac:dyDescent="0.25">
      <c r="A8" s="2" t="s">
        <v>13</v>
      </c>
      <c r="B8" s="2" t="s">
        <v>13</v>
      </c>
      <c r="C8" s="3">
        <v>7</v>
      </c>
      <c r="D8" s="4" t="s">
        <v>50</v>
      </c>
      <c r="E8" s="5" t="s">
        <v>51</v>
      </c>
      <c r="F8" s="6" t="s">
        <v>52</v>
      </c>
      <c r="G8" s="6" t="s">
        <v>53</v>
      </c>
      <c r="H8" s="6" t="s">
        <v>54</v>
      </c>
      <c r="I8" s="3">
        <v>1</v>
      </c>
      <c r="J8" s="6" t="s">
        <v>55</v>
      </c>
      <c r="K8" s="4" t="s">
        <v>20</v>
      </c>
      <c r="L8" s="3">
        <v>20</v>
      </c>
      <c r="M8" s="6"/>
    </row>
    <row r="9" spans="1:13" x14ac:dyDescent="0.25">
      <c r="A9" s="2" t="s">
        <v>13</v>
      </c>
      <c r="B9" s="2" t="s">
        <v>13</v>
      </c>
      <c r="C9" s="3">
        <v>8</v>
      </c>
      <c r="D9" s="4" t="s">
        <v>56</v>
      </c>
      <c r="E9" s="5" t="s">
        <v>57</v>
      </c>
      <c r="F9" s="6" t="s">
        <v>58</v>
      </c>
      <c r="G9" s="6" t="s">
        <v>59</v>
      </c>
      <c r="H9" s="6" t="s">
        <v>60</v>
      </c>
      <c r="I9" s="3">
        <v>2</v>
      </c>
      <c r="J9" s="6" t="s">
        <v>61</v>
      </c>
      <c r="K9" s="4" t="s">
        <v>20</v>
      </c>
      <c r="L9" s="3">
        <v>20</v>
      </c>
      <c r="M9" s="6"/>
    </row>
    <row r="10" spans="1:13" x14ac:dyDescent="0.25">
      <c r="A10" s="2" t="s">
        <v>13</v>
      </c>
      <c r="B10" s="2" t="s">
        <v>13</v>
      </c>
      <c r="C10" s="3">
        <v>9</v>
      </c>
      <c r="D10" s="4" t="s">
        <v>62</v>
      </c>
      <c r="E10" s="5" t="s">
        <v>63</v>
      </c>
      <c r="F10" s="6" t="s">
        <v>64</v>
      </c>
      <c r="G10" s="6" t="s">
        <v>65</v>
      </c>
      <c r="H10" s="6">
        <v>6</v>
      </c>
      <c r="I10" s="3">
        <v>1</v>
      </c>
      <c r="J10" s="6" t="s">
        <v>66</v>
      </c>
      <c r="K10" s="4" t="s">
        <v>20</v>
      </c>
      <c r="L10" s="3">
        <v>20</v>
      </c>
      <c r="M10" s="6"/>
    </row>
    <row r="11" spans="1:13" ht="25.5" x14ac:dyDescent="0.25">
      <c r="A11" s="2" t="s">
        <v>13</v>
      </c>
      <c r="B11" s="2" t="s">
        <v>13</v>
      </c>
      <c r="C11" s="3">
        <v>10</v>
      </c>
      <c r="D11" s="4" t="s">
        <v>67</v>
      </c>
      <c r="E11" s="5" t="s">
        <v>68</v>
      </c>
      <c r="F11" s="6" t="s">
        <v>69</v>
      </c>
      <c r="G11" s="6" t="s">
        <v>70</v>
      </c>
      <c r="H11" s="6">
        <v>815</v>
      </c>
      <c r="I11" s="3">
        <v>1</v>
      </c>
      <c r="J11" s="6" t="s">
        <v>71</v>
      </c>
      <c r="K11" s="4" t="s">
        <v>20</v>
      </c>
      <c r="L11" s="3">
        <v>20</v>
      </c>
      <c r="M11" s="6"/>
    </row>
    <row r="12" spans="1:13" ht="25.5" x14ac:dyDescent="0.25">
      <c r="A12" s="2" t="s">
        <v>13</v>
      </c>
      <c r="B12" s="2" t="s">
        <v>13</v>
      </c>
      <c r="C12" s="3">
        <v>11</v>
      </c>
      <c r="D12" s="4" t="s">
        <v>72</v>
      </c>
      <c r="E12" s="5" t="s">
        <v>73</v>
      </c>
      <c r="F12" s="6" t="s">
        <v>74</v>
      </c>
      <c r="G12" s="6" t="s">
        <v>75</v>
      </c>
      <c r="H12" s="6" t="s">
        <v>76</v>
      </c>
      <c r="I12" s="3">
        <v>1</v>
      </c>
      <c r="J12" s="6" t="s">
        <v>77</v>
      </c>
      <c r="K12" s="4" t="s">
        <v>20</v>
      </c>
      <c r="L12" s="3">
        <v>20</v>
      </c>
      <c r="M12" s="6"/>
    </row>
    <row r="13" spans="1:13" x14ac:dyDescent="0.25">
      <c r="A13" s="2" t="s">
        <v>13</v>
      </c>
      <c r="B13" s="2" t="s">
        <v>13</v>
      </c>
      <c r="C13" s="3">
        <v>12</v>
      </c>
      <c r="D13" s="4" t="s">
        <v>78</v>
      </c>
      <c r="E13" s="5" t="s">
        <v>79</v>
      </c>
      <c r="F13" s="6" t="s">
        <v>80</v>
      </c>
      <c r="G13" s="6" t="s">
        <v>81</v>
      </c>
      <c r="H13" s="6" t="s">
        <v>82</v>
      </c>
      <c r="I13" s="3">
        <v>1</v>
      </c>
      <c r="J13" s="6" t="s">
        <v>83</v>
      </c>
      <c r="K13" s="4" t="s">
        <v>20</v>
      </c>
      <c r="L13" s="3">
        <v>20</v>
      </c>
      <c r="M13" s="6"/>
    </row>
    <row r="14" spans="1:13" ht="25.5" x14ac:dyDescent="0.25">
      <c r="A14" s="2" t="s">
        <v>13</v>
      </c>
      <c r="B14" s="2" t="s">
        <v>13</v>
      </c>
      <c r="C14" s="3">
        <v>13</v>
      </c>
      <c r="D14" s="4" t="s">
        <v>84</v>
      </c>
      <c r="E14" s="5" t="s">
        <v>85</v>
      </c>
      <c r="F14" s="6" t="s">
        <v>86</v>
      </c>
      <c r="G14" s="6" t="s">
        <v>87</v>
      </c>
      <c r="H14" s="6" t="s">
        <v>88</v>
      </c>
      <c r="I14" s="3">
        <v>1</v>
      </c>
      <c r="J14" s="6" t="s">
        <v>89</v>
      </c>
      <c r="K14" s="4" t="s">
        <v>20</v>
      </c>
      <c r="L14" s="3">
        <v>20</v>
      </c>
      <c r="M14" s="6"/>
    </row>
    <row r="15" spans="1:13" x14ac:dyDescent="0.25">
      <c r="A15" s="2" t="s">
        <v>13</v>
      </c>
      <c r="B15" s="2" t="s">
        <v>13</v>
      </c>
      <c r="C15" s="3">
        <v>14</v>
      </c>
      <c r="D15" s="4" t="s">
        <v>90</v>
      </c>
      <c r="E15" s="5" t="s">
        <v>91</v>
      </c>
      <c r="F15" s="6" t="s">
        <v>92</v>
      </c>
      <c r="G15" s="6" t="s">
        <v>93</v>
      </c>
      <c r="H15" s="6" t="s">
        <v>94</v>
      </c>
      <c r="I15" s="3">
        <v>1</v>
      </c>
      <c r="J15" s="6" t="s">
        <v>95</v>
      </c>
      <c r="K15" s="4" t="s">
        <v>20</v>
      </c>
      <c r="L15" s="3">
        <v>20</v>
      </c>
      <c r="M15" s="6"/>
    </row>
    <row r="16" spans="1:13" ht="25.5" x14ac:dyDescent="0.25">
      <c r="A16" s="2" t="s">
        <v>13</v>
      </c>
      <c r="B16" s="2" t="s">
        <v>13</v>
      </c>
      <c r="C16" s="3">
        <v>15</v>
      </c>
      <c r="D16" s="4" t="s">
        <v>96</v>
      </c>
      <c r="E16" s="5" t="s">
        <v>97</v>
      </c>
      <c r="F16" s="6" t="s">
        <v>98</v>
      </c>
      <c r="G16" s="6" t="s">
        <v>99</v>
      </c>
      <c r="H16" s="6" t="s">
        <v>100</v>
      </c>
      <c r="I16" s="3">
        <v>0</v>
      </c>
      <c r="J16" s="6" t="s">
        <v>101</v>
      </c>
      <c r="K16" s="4" t="s">
        <v>20</v>
      </c>
      <c r="L16" s="3">
        <v>20</v>
      </c>
      <c r="M16" s="6"/>
    </row>
    <row r="17" spans="1:13" x14ac:dyDescent="0.25">
      <c r="A17" s="2" t="s">
        <v>13</v>
      </c>
      <c r="B17" s="2" t="s">
        <v>13</v>
      </c>
      <c r="C17" s="3">
        <v>16</v>
      </c>
      <c r="D17" s="4" t="s">
        <v>102</v>
      </c>
      <c r="E17" s="5" t="s">
        <v>103</v>
      </c>
      <c r="F17" s="6" t="s">
        <v>104</v>
      </c>
      <c r="G17" s="6" t="s">
        <v>105</v>
      </c>
      <c r="H17" s="6">
        <v>86</v>
      </c>
      <c r="I17" s="3">
        <v>1</v>
      </c>
      <c r="J17" s="6" t="s">
        <v>485</v>
      </c>
      <c r="K17" s="4" t="s">
        <v>20</v>
      </c>
      <c r="L17" s="3">
        <v>20</v>
      </c>
      <c r="M17" s="6"/>
    </row>
    <row r="18" spans="1:13" ht="25.5" x14ac:dyDescent="0.25">
      <c r="A18" s="7" t="s">
        <v>106</v>
      </c>
      <c r="B18" s="7" t="s">
        <v>107</v>
      </c>
      <c r="C18" s="3"/>
      <c r="D18" s="4" t="s">
        <v>108</v>
      </c>
      <c r="E18" s="5" t="s">
        <v>109</v>
      </c>
      <c r="F18" s="6" t="s">
        <v>110</v>
      </c>
      <c r="G18" s="6" t="s">
        <v>111</v>
      </c>
      <c r="H18" s="6" t="s">
        <v>112</v>
      </c>
      <c r="I18" s="3">
        <v>14</v>
      </c>
      <c r="J18" s="6" t="s">
        <v>113</v>
      </c>
      <c r="K18" s="4" t="s">
        <v>20</v>
      </c>
      <c r="L18" s="3">
        <v>20</v>
      </c>
      <c r="M18" s="6"/>
    </row>
    <row r="19" spans="1:13" ht="38.25" x14ac:dyDescent="0.25">
      <c r="A19" s="7" t="s">
        <v>106</v>
      </c>
      <c r="B19" s="7" t="s">
        <v>107</v>
      </c>
      <c r="C19" s="3"/>
      <c r="D19" s="4" t="s">
        <v>114</v>
      </c>
      <c r="E19" s="5" t="s">
        <v>115</v>
      </c>
      <c r="F19" s="6" t="s">
        <v>116</v>
      </c>
      <c r="G19" s="6" t="s">
        <v>117</v>
      </c>
      <c r="H19" s="6" t="s">
        <v>118</v>
      </c>
      <c r="I19" s="3">
        <v>14</v>
      </c>
      <c r="J19" s="6" t="s">
        <v>119</v>
      </c>
      <c r="K19" s="4" t="s">
        <v>20</v>
      </c>
      <c r="L19" s="3">
        <v>20</v>
      </c>
      <c r="M19" s="6"/>
    </row>
    <row r="20" spans="1:13" ht="63.75" x14ac:dyDescent="0.25">
      <c r="A20" s="7" t="s">
        <v>106</v>
      </c>
      <c r="B20" s="7" t="s">
        <v>107</v>
      </c>
      <c r="C20" s="3"/>
      <c r="D20" s="4" t="s">
        <v>120</v>
      </c>
      <c r="E20" s="5" t="s">
        <v>121</v>
      </c>
      <c r="F20" s="6" t="s">
        <v>122</v>
      </c>
      <c r="G20" s="6" t="s">
        <v>123</v>
      </c>
      <c r="H20" s="6" t="s">
        <v>124</v>
      </c>
      <c r="I20" s="3">
        <v>7</v>
      </c>
      <c r="J20" s="6" t="s">
        <v>125</v>
      </c>
      <c r="K20" s="4" t="s">
        <v>20</v>
      </c>
      <c r="L20" s="3">
        <v>20</v>
      </c>
      <c r="M20" s="6"/>
    </row>
    <row r="21" spans="1:13" ht="25.5" x14ac:dyDescent="0.25">
      <c r="A21" s="7" t="s">
        <v>106</v>
      </c>
      <c r="B21" s="7" t="s">
        <v>126</v>
      </c>
      <c r="C21" s="3"/>
      <c r="D21" s="4" t="s">
        <v>127</v>
      </c>
      <c r="E21" s="5" t="s">
        <v>128</v>
      </c>
      <c r="F21" s="6" t="s">
        <v>129</v>
      </c>
      <c r="G21" s="6" t="s">
        <v>130</v>
      </c>
      <c r="H21" s="6" t="s">
        <v>131</v>
      </c>
      <c r="I21" s="3">
        <v>69</v>
      </c>
      <c r="J21" s="6" t="s">
        <v>132</v>
      </c>
      <c r="K21" s="4" t="s">
        <v>20</v>
      </c>
      <c r="L21" s="3">
        <v>20</v>
      </c>
      <c r="M21" s="6"/>
    </row>
    <row r="22" spans="1:13" x14ac:dyDescent="0.25">
      <c r="A22" s="7" t="s">
        <v>106</v>
      </c>
      <c r="B22" s="7" t="s">
        <v>126</v>
      </c>
      <c r="C22" s="3"/>
      <c r="D22" s="4" t="s">
        <v>133</v>
      </c>
      <c r="E22" s="5" t="s">
        <v>134</v>
      </c>
      <c r="F22" s="6" t="s">
        <v>135</v>
      </c>
      <c r="G22" s="6" t="s">
        <v>136</v>
      </c>
      <c r="H22" s="6" t="s">
        <v>137</v>
      </c>
      <c r="I22" s="3">
        <v>81</v>
      </c>
      <c r="J22" s="6" t="s">
        <v>138</v>
      </c>
      <c r="K22" s="4" t="s">
        <v>20</v>
      </c>
      <c r="L22" s="3">
        <v>20</v>
      </c>
      <c r="M22" s="6"/>
    </row>
    <row r="23" spans="1:13" ht="25.5" x14ac:dyDescent="0.25">
      <c r="A23" s="7" t="s">
        <v>106</v>
      </c>
      <c r="B23" s="7" t="s">
        <v>126</v>
      </c>
      <c r="C23" s="3"/>
      <c r="D23" s="4" t="s">
        <v>139</v>
      </c>
      <c r="E23" s="8" t="s">
        <v>140</v>
      </c>
      <c r="F23" s="6" t="s">
        <v>141</v>
      </c>
      <c r="G23" s="6" t="s">
        <v>142</v>
      </c>
      <c r="H23" s="6" t="s">
        <v>143</v>
      </c>
      <c r="I23" s="3">
        <v>120</v>
      </c>
      <c r="J23" s="6" t="s">
        <v>144</v>
      </c>
      <c r="K23" s="9" t="s">
        <v>145</v>
      </c>
      <c r="L23" s="3">
        <v>20</v>
      </c>
      <c r="M23" s="6"/>
    </row>
    <row r="24" spans="1:13" ht="25.5" x14ac:dyDescent="0.25">
      <c r="A24" s="7" t="s">
        <v>106</v>
      </c>
      <c r="B24" s="7" t="s">
        <v>126</v>
      </c>
      <c r="C24" s="3"/>
      <c r="D24" s="4" t="s">
        <v>146</v>
      </c>
      <c r="E24" s="5" t="s">
        <v>147</v>
      </c>
      <c r="F24" s="6" t="s">
        <v>148</v>
      </c>
      <c r="G24" s="6" t="s">
        <v>149</v>
      </c>
      <c r="H24" s="6" t="s">
        <v>150</v>
      </c>
      <c r="I24" s="3">
        <v>37</v>
      </c>
      <c r="J24" s="6" t="s">
        <v>486</v>
      </c>
      <c r="K24" s="4" t="s">
        <v>20</v>
      </c>
      <c r="L24" s="3">
        <v>20</v>
      </c>
      <c r="M24" s="6"/>
    </row>
    <row r="25" spans="1:13" ht="38.25" x14ac:dyDescent="0.25">
      <c r="A25" s="7" t="s">
        <v>106</v>
      </c>
      <c r="B25" s="7" t="s">
        <v>126</v>
      </c>
      <c r="C25" s="3"/>
      <c r="D25" s="4" t="s">
        <v>151</v>
      </c>
      <c r="E25" s="5" t="s">
        <v>152</v>
      </c>
      <c r="F25" s="6" t="s">
        <v>153</v>
      </c>
      <c r="G25" s="6" t="s">
        <v>154</v>
      </c>
      <c r="H25" s="6" t="s">
        <v>155</v>
      </c>
      <c r="I25" s="3">
        <v>36</v>
      </c>
      <c r="J25" s="6" t="s">
        <v>156</v>
      </c>
      <c r="K25" s="4" t="s">
        <v>20</v>
      </c>
      <c r="L25" s="3">
        <v>20</v>
      </c>
      <c r="M25" s="6"/>
    </row>
    <row r="26" spans="1:13" ht="51" x14ac:dyDescent="0.25">
      <c r="A26" s="7" t="s">
        <v>106</v>
      </c>
      <c r="B26" s="7" t="s">
        <v>126</v>
      </c>
      <c r="C26" s="3"/>
      <c r="D26" s="4" t="s">
        <v>157</v>
      </c>
      <c r="E26" s="5" t="s">
        <v>158</v>
      </c>
      <c r="F26" s="6" t="s">
        <v>159</v>
      </c>
      <c r="G26" s="6" t="s">
        <v>160</v>
      </c>
      <c r="H26" s="6" t="s">
        <v>161</v>
      </c>
      <c r="I26" s="3">
        <v>4</v>
      </c>
      <c r="J26" s="6" t="s">
        <v>162</v>
      </c>
      <c r="K26" s="4" t="s">
        <v>163</v>
      </c>
      <c r="L26" s="3">
        <v>20</v>
      </c>
      <c r="M26" s="6"/>
    </row>
    <row r="27" spans="1:13" ht="25.5" x14ac:dyDescent="0.25">
      <c r="A27" s="7" t="s">
        <v>106</v>
      </c>
      <c r="B27" s="7" t="s">
        <v>126</v>
      </c>
      <c r="C27" s="3"/>
      <c r="D27" s="4" t="s">
        <v>164</v>
      </c>
      <c r="E27" s="8" t="s">
        <v>165</v>
      </c>
      <c r="F27" s="6" t="s">
        <v>166</v>
      </c>
      <c r="G27" s="6" t="s">
        <v>167</v>
      </c>
      <c r="H27" s="6" t="s">
        <v>168</v>
      </c>
      <c r="I27" s="3">
        <v>5</v>
      </c>
      <c r="J27" s="6" t="s">
        <v>487</v>
      </c>
      <c r="K27" s="9" t="s">
        <v>145</v>
      </c>
      <c r="L27" s="3">
        <v>20</v>
      </c>
      <c r="M27" s="6"/>
    </row>
    <row r="28" spans="1:13" ht="38.25" x14ac:dyDescent="0.25">
      <c r="A28" s="7" t="s">
        <v>106</v>
      </c>
      <c r="B28" s="7" t="s">
        <v>126</v>
      </c>
      <c r="C28" s="3"/>
      <c r="D28" s="4" t="s">
        <v>169</v>
      </c>
      <c r="E28" s="5" t="s">
        <v>170</v>
      </c>
      <c r="F28" s="6" t="s">
        <v>171</v>
      </c>
      <c r="G28" s="6" t="s">
        <v>172</v>
      </c>
      <c r="H28" s="6" t="s">
        <v>173</v>
      </c>
      <c r="I28" s="3">
        <v>1</v>
      </c>
      <c r="J28" s="6" t="s">
        <v>174</v>
      </c>
      <c r="K28" s="4" t="s">
        <v>20</v>
      </c>
      <c r="L28" s="3">
        <v>20</v>
      </c>
      <c r="M28" s="6"/>
    </row>
    <row r="29" spans="1:13" x14ac:dyDescent="0.25">
      <c r="A29" s="7" t="s">
        <v>106</v>
      </c>
      <c r="B29" s="7" t="s">
        <v>126</v>
      </c>
      <c r="C29" s="3"/>
      <c r="D29" s="4" t="s">
        <v>175</v>
      </c>
      <c r="E29" s="5" t="s">
        <v>176</v>
      </c>
      <c r="F29" s="6" t="s">
        <v>488</v>
      </c>
      <c r="G29" s="6" t="s">
        <v>177</v>
      </c>
      <c r="H29" s="6" t="s">
        <v>178</v>
      </c>
      <c r="I29" s="3">
        <v>1</v>
      </c>
      <c r="J29" s="6"/>
      <c r="K29" s="4" t="s">
        <v>20</v>
      </c>
      <c r="L29" s="3">
        <v>20</v>
      </c>
      <c r="M29" s="6"/>
    </row>
    <row r="30" spans="1:13" ht="25.5" x14ac:dyDescent="0.25">
      <c r="A30" s="7" t="s">
        <v>106</v>
      </c>
      <c r="B30" s="7" t="s">
        <v>126</v>
      </c>
      <c r="C30" s="3"/>
      <c r="D30" s="4" t="s">
        <v>179</v>
      </c>
      <c r="E30" s="5" t="s">
        <v>180</v>
      </c>
      <c r="F30" s="6" t="s">
        <v>489</v>
      </c>
      <c r="G30" s="6" t="s">
        <v>181</v>
      </c>
      <c r="H30" s="6" t="s">
        <v>182</v>
      </c>
      <c r="I30" s="3">
        <v>1</v>
      </c>
      <c r="J30" s="6" t="s">
        <v>183</v>
      </c>
      <c r="K30" s="4" t="s">
        <v>20</v>
      </c>
      <c r="L30" s="3">
        <v>20</v>
      </c>
      <c r="M30" s="6"/>
    </row>
    <row r="31" spans="1:13" ht="38.25" x14ac:dyDescent="0.25">
      <c r="A31" s="7" t="s">
        <v>106</v>
      </c>
      <c r="B31" s="7" t="s">
        <v>126</v>
      </c>
      <c r="C31" s="3"/>
      <c r="D31" s="4" t="s">
        <v>185</v>
      </c>
      <c r="E31" s="8" t="s">
        <v>186</v>
      </c>
      <c r="F31" s="6" t="s">
        <v>187</v>
      </c>
      <c r="G31" s="6" t="s">
        <v>188</v>
      </c>
      <c r="H31" s="6" t="s">
        <v>189</v>
      </c>
      <c r="I31" s="3">
        <v>2</v>
      </c>
      <c r="J31" s="6" t="s">
        <v>190</v>
      </c>
      <c r="K31" s="9" t="s">
        <v>184</v>
      </c>
      <c r="L31" s="3">
        <v>20</v>
      </c>
      <c r="M31" s="6"/>
    </row>
    <row r="32" spans="1:13" ht="51" x14ac:dyDescent="0.25">
      <c r="A32" s="7" t="s">
        <v>106</v>
      </c>
      <c r="B32" s="7" t="s">
        <v>126</v>
      </c>
      <c r="C32" s="3"/>
      <c r="D32" s="4" t="s">
        <v>191</v>
      </c>
      <c r="E32" s="8" t="s">
        <v>192</v>
      </c>
      <c r="F32" s="6" t="s">
        <v>193</v>
      </c>
      <c r="G32" s="6" t="s">
        <v>194</v>
      </c>
      <c r="H32" s="6" t="s">
        <v>195</v>
      </c>
      <c r="I32" s="3">
        <v>2</v>
      </c>
      <c r="J32" s="6" t="s">
        <v>196</v>
      </c>
      <c r="K32" s="9" t="s">
        <v>184</v>
      </c>
      <c r="L32" s="3">
        <v>20</v>
      </c>
      <c r="M32" s="6"/>
    </row>
    <row r="33" spans="1:13" ht="38.25" x14ac:dyDescent="0.25">
      <c r="A33" s="7" t="s">
        <v>106</v>
      </c>
      <c r="B33" s="7" t="s">
        <v>126</v>
      </c>
      <c r="C33" s="3"/>
      <c r="D33" s="4" t="s">
        <v>197</v>
      </c>
      <c r="E33" s="8" t="s">
        <v>490</v>
      </c>
      <c r="F33" s="6" t="s">
        <v>198</v>
      </c>
      <c r="G33" s="6" t="s">
        <v>199</v>
      </c>
      <c r="H33" s="6" t="s">
        <v>200</v>
      </c>
      <c r="I33" s="3">
        <v>8</v>
      </c>
      <c r="J33" s="6" t="s">
        <v>201</v>
      </c>
      <c r="K33" s="9" t="s">
        <v>184</v>
      </c>
      <c r="L33" s="3">
        <v>20</v>
      </c>
      <c r="M33" s="6"/>
    </row>
    <row r="34" spans="1:13" ht="51" x14ac:dyDescent="0.25">
      <c r="A34" s="7" t="s">
        <v>106</v>
      </c>
      <c r="B34" s="7" t="s">
        <v>202</v>
      </c>
      <c r="C34" s="3"/>
      <c r="D34" s="4" t="s">
        <v>203</v>
      </c>
      <c r="E34" s="5" t="s">
        <v>204</v>
      </c>
      <c r="F34" s="6" t="s">
        <v>205</v>
      </c>
      <c r="G34" s="6" t="s">
        <v>206</v>
      </c>
      <c r="H34" s="6" t="s">
        <v>207</v>
      </c>
      <c r="I34" s="3">
        <v>1</v>
      </c>
      <c r="J34" s="6" t="s">
        <v>208</v>
      </c>
      <c r="K34" s="4" t="s">
        <v>163</v>
      </c>
      <c r="L34" s="3">
        <v>20</v>
      </c>
      <c r="M34" s="6"/>
    </row>
    <row r="35" spans="1:13" ht="51" x14ac:dyDescent="0.25">
      <c r="A35" s="7" t="s">
        <v>106</v>
      </c>
      <c r="B35" s="7" t="s">
        <v>202</v>
      </c>
      <c r="C35" s="3"/>
      <c r="D35" s="4" t="s">
        <v>209</v>
      </c>
      <c r="E35" s="5" t="s">
        <v>210</v>
      </c>
      <c r="F35" s="6" t="s">
        <v>211</v>
      </c>
      <c r="G35" s="6" t="s">
        <v>212</v>
      </c>
      <c r="H35" s="6" t="s">
        <v>213</v>
      </c>
      <c r="I35" s="3">
        <v>3</v>
      </c>
      <c r="J35" s="6" t="s">
        <v>214</v>
      </c>
      <c r="K35" s="4" t="s">
        <v>163</v>
      </c>
      <c r="L35" s="3">
        <v>20</v>
      </c>
      <c r="M35" s="6"/>
    </row>
    <row r="36" spans="1:13" ht="38.25" x14ac:dyDescent="0.25">
      <c r="A36" s="7" t="s">
        <v>106</v>
      </c>
      <c r="B36" s="7" t="s">
        <v>202</v>
      </c>
      <c r="C36" s="3"/>
      <c r="D36" s="4" t="s">
        <v>215</v>
      </c>
      <c r="E36" s="5" t="s">
        <v>216</v>
      </c>
      <c r="F36" s="6" t="s">
        <v>217</v>
      </c>
      <c r="G36" s="6" t="s">
        <v>218</v>
      </c>
      <c r="H36" s="6" t="s">
        <v>219</v>
      </c>
      <c r="I36" s="3">
        <v>1</v>
      </c>
      <c r="J36" s="6" t="s">
        <v>220</v>
      </c>
      <c r="K36" s="4" t="s">
        <v>163</v>
      </c>
      <c r="L36" s="3">
        <v>20</v>
      </c>
      <c r="M36" s="6"/>
    </row>
    <row r="37" spans="1:13" ht="38.25" x14ac:dyDescent="0.25">
      <c r="A37" s="7" t="s">
        <v>106</v>
      </c>
      <c r="B37" s="7" t="s">
        <v>202</v>
      </c>
      <c r="C37" s="3"/>
      <c r="D37" s="4" t="s">
        <v>221</v>
      </c>
      <c r="E37" s="8" t="s">
        <v>222</v>
      </c>
      <c r="F37" s="6" t="s">
        <v>223</v>
      </c>
      <c r="G37" s="6" t="s">
        <v>224</v>
      </c>
      <c r="H37" s="6" t="s">
        <v>225</v>
      </c>
      <c r="I37" s="3">
        <v>0</v>
      </c>
      <c r="J37" s="6" t="s">
        <v>226</v>
      </c>
      <c r="K37" s="9" t="s">
        <v>184</v>
      </c>
      <c r="L37" s="3">
        <v>20</v>
      </c>
      <c r="M37" s="6"/>
    </row>
    <row r="38" spans="1:13" ht="51" x14ac:dyDescent="0.25">
      <c r="A38" s="7" t="s">
        <v>106</v>
      </c>
      <c r="B38" s="7" t="s">
        <v>202</v>
      </c>
      <c r="C38" s="3"/>
      <c r="D38" s="4" t="s">
        <v>227</v>
      </c>
      <c r="E38" s="8" t="s">
        <v>228</v>
      </c>
      <c r="F38" s="6" t="s">
        <v>229</v>
      </c>
      <c r="G38" s="6" t="s">
        <v>230</v>
      </c>
      <c r="H38" s="6" t="s">
        <v>231</v>
      </c>
      <c r="I38" s="3">
        <v>3</v>
      </c>
      <c r="J38" s="6" t="s">
        <v>232</v>
      </c>
      <c r="K38" s="9" t="s">
        <v>184</v>
      </c>
      <c r="L38" s="3">
        <v>20</v>
      </c>
      <c r="M38" s="6"/>
    </row>
    <row r="39" spans="1:13" ht="51" x14ac:dyDescent="0.25">
      <c r="A39" s="7" t="s">
        <v>106</v>
      </c>
      <c r="B39" s="7" t="s">
        <v>202</v>
      </c>
      <c r="C39" s="3"/>
      <c r="D39" s="4" t="s">
        <v>233</v>
      </c>
      <c r="E39" s="8" t="s">
        <v>234</v>
      </c>
      <c r="F39" s="6" t="s">
        <v>235</v>
      </c>
      <c r="G39" s="6" t="s">
        <v>236</v>
      </c>
      <c r="H39" s="6" t="s">
        <v>237</v>
      </c>
      <c r="I39" s="3">
        <v>10</v>
      </c>
      <c r="J39" s="6" t="s">
        <v>238</v>
      </c>
      <c r="K39" s="9" t="s">
        <v>184</v>
      </c>
      <c r="L39" s="3">
        <v>20</v>
      </c>
      <c r="M39" s="6"/>
    </row>
    <row r="40" spans="1:13" x14ac:dyDescent="0.25">
      <c r="A40" s="10" t="s">
        <v>239</v>
      </c>
      <c r="B40" s="10" t="s">
        <v>240</v>
      </c>
      <c r="C40" s="3"/>
      <c r="D40" s="4" t="s">
        <v>241</v>
      </c>
      <c r="E40" s="5" t="s">
        <v>242</v>
      </c>
      <c r="F40" s="6" t="s">
        <v>243</v>
      </c>
      <c r="G40" s="6" t="s">
        <v>244</v>
      </c>
      <c r="H40" s="6" t="s">
        <v>245</v>
      </c>
      <c r="I40" s="3">
        <v>1</v>
      </c>
      <c r="J40" s="6" t="s">
        <v>246</v>
      </c>
      <c r="K40" s="4" t="s">
        <v>20</v>
      </c>
      <c r="L40" s="3">
        <v>20</v>
      </c>
      <c r="M40" s="6"/>
    </row>
    <row r="41" spans="1:13" x14ac:dyDescent="0.25">
      <c r="A41" s="10" t="s">
        <v>239</v>
      </c>
      <c r="B41" s="10" t="s">
        <v>240</v>
      </c>
      <c r="C41" s="3"/>
      <c r="D41" s="4" t="s">
        <v>247</v>
      </c>
      <c r="E41" s="5" t="s">
        <v>248</v>
      </c>
      <c r="F41" s="6" t="s">
        <v>249</v>
      </c>
      <c r="G41" s="6" t="s">
        <v>250</v>
      </c>
      <c r="H41" s="6" t="s">
        <v>251</v>
      </c>
      <c r="I41" s="3">
        <v>1</v>
      </c>
      <c r="J41" s="6" t="s">
        <v>491</v>
      </c>
      <c r="K41" s="4" t="s">
        <v>20</v>
      </c>
      <c r="L41" s="3">
        <v>20</v>
      </c>
      <c r="M41" s="6"/>
    </row>
    <row r="42" spans="1:13" x14ac:dyDescent="0.25">
      <c r="A42" s="10" t="s">
        <v>239</v>
      </c>
      <c r="B42" s="10" t="s">
        <v>240</v>
      </c>
      <c r="C42" s="3"/>
      <c r="D42" s="4" t="s">
        <v>252</v>
      </c>
      <c r="E42" s="5" t="s">
        <v>253</v>
      </c>
      <c r="F42" s="6" t="s">
        <v>254</v>
      </c>
      <c r="G42" s="6" t="s">
        <v>255</v>
      </c>
      <c r="H42" s="6" t="s">
        <v>256</v>
      </c>
      <c r="I42" s="3">
        <v>1</v>
      </c>
      <c r="J42" s="6" t="s">
        <v>257</v>
      </c>
      <c r="K42" s="4" t="s">
        <v>20</v>
      </c>
      <c r="L42" s="3">
        <v>20</v>
      </c>
      <c r="M42" s="6"/>
    </row>
    <row r="43" spans="1:13" x14ac:dyDescent="0.25">
      <c r="A43" s="10" t="s">
        <v>239</v>
      </c>
      <c r="B43" s="10" t="s">
        <v>240</v>
      </c>
      <c r="C43" s="3"/>
      <c r="D43" s="4" t="s">
        <v>258</v>
      </c>
      <c r="E43" s="5" t="s">
        <v>259</v>
      </c>
      <c r="F43" s="6" t="s">
        <v>260</v>
      </c>
      <c r="G43" s="6" t="s">
        <v>261</v>
      </c>
      <c r="H43" s="6" t="s">
        <v>262</v>
      </c>
      <c r="I43" s="3">
        <v>1</v>
      </c>
      <c r="J43" s="6" t="s">
        <v>492</v>
      </c>
      <c r="K43" s="4" t="s">
        <v>163</v>
      </c>
      <c r="L43" s="3">
        <v>20</v>
      </c>
      <c r="M43" s="6"/>
    </row>
    <row r="44" spans="1:13" ht="25.5" x14ac:dyDescent="0.25">
      <c r="A44" s="10" t="s">
        <v>239</v>
      </c>
      <c r="B44" s="10" t="s">
        <v>372</v>
      </c>
      <c r="C44" s="3"/>
      <c r="D44" s="4" t="s">
        <v>263</v>
      </c>
      <c r="E44" s="5" t="s">
        <v>264</v>
      </c>
      <c r="F44" s="6" t="s">
        <v>265</v>
      </c>
      <c r="G44" s="6" t="s">
        <v>266</v>
      </c>
      <c r="H44" s="6" t="s">
        <v>267</v>
      </c>
      <c r="I44" s="3">
        <v>1</v>
      </c>
      <c r="J44" s="6" t="s">
        <v>268</v>
      </c>
      <c r="K44" s="4" t="s">
        <v>163</v>
      </c>
      <c r="L44" s="3">
        <v>20</v>
      </c>
      <c r="M44" s="6"/>
    </row>
    <row r="45" spans="1:13" ht="25.5" x14ac:dyDescent="0.25">
      <c r="A45" s="10" t="s">
        <v>239</v>
      </c>
      <c r="B45" s="10" t="s">
        <v>372</v>
      </c>
      <c r="C45" s="3"/>
      <c r="D45" s="4" t="s">
        <v>269</v>
      </c>
      <c r="E45" s="5" t="s">
        <v>270</v>
      </c>
      <c r="F45" s="6" t="s">
        <v>271</v>
      </c>
      <c r="G45" s="6" t="s">
        <v>272</v>
      </c>
      <c r="H45" s="6" t="s">
        <v>273</v>
      </c>
      <c r="I45" s="3">
        <v>1</v>
      </c>
      <c r="J45" s="6" t="s">
        <v>274</v>
      </c>
      <c r="K45" s="4" t="s">
        <v>163</v>
      </c>
      <c r="L45" s="3">
        <v>20</v>
      </c>
      <c r="M45" s="6"/>
    </row>
    <row r="46" spans="1:13" x14ac:dyDescent="0.25">
      <c r="A46" s="10" t="s">
        <v>239</v>
      </c>
      <c r="B46" s="10" t="s">
        <v>240</v>
      </c>
      <c r="C46" s="3"/>
      <c r="D46" s="4" t="s">
        <v>275</v>
      </c>
      <c r="E46" s="5" t="s">
        <v>276</v>
      </c>
      <c r="F46" s="6" t="s">
        <v>277</v>
      </c>
      <c r="G46" s="6" t="s">
        <v>278</v>
      </c>
      <c r="H46" s="6" t="s">
        <v>279</v>
      </c>
      <c r="I46" s="3">
        <v>1</v>
      </c>
      <c r="J46" s="6"/>
      <c r="K46" s="4" t="s">
        <v>163</v>
      </c>
      <c r="L46" s="3">
        <v>20</v>
      </c>
      <c r="M46" s="6"/>
    </row>
    <row r="47" spans="1:13" x14ac:dyDescent="0.25">
      <c r="A47" s="10" t="s">
        <v>239</v>
      </c>
      <c r="B47" s="10" t="s">
        <v>240</v>
      </c>
      <c r="C47" s="3"/>
      <c r="D47" s="4" t="s">
        <v>280</v>
      </c>
      <c r="E47" s="5" t="s">
        <v>281</v>
      </c>
      <c r="F47" s="6" t="s">
        <v>282</v>
      </c>
      <c r="G47" s="6" t="s">
        <v>283</v>
      </c>
      <c r="H47" s="6" t="s">
        <v>284</v>
      </c>
      <c r="I47" s="3">
        <v>1</v>
      </c>
      <c r="J47" s="6"/>
      <c r="K47" s="4" t="s">
        <v>163</v>
      </c>
      <c r="L47" s="3">
        <v>20</v>
      </c>
      <c r="M47" s="6"/>
    </row>
    <row r="48" spans="1:13" x14ac:dyDescent="0.25">
      <c r="A48" s="10" t="s">
        <v>239</v>
      </c>
      <c r="B48" s="10" t="s">
        <v>240</v>
      </c>
      <c r="C48" s="3"/>
      <c r="D48" s="4" t="s">
        <v>285</v>
      </c>
      <c r="E48" s="5" t="s">
        <v>286</v>
      </c>
      <c r="F48" s="6" t="s">
        <v>287</v>
      </c>
      <c r="G48" s="6" t="s">
        <v>288</v>
      </c>
      <c r="H48" s="6" t="s">
        <v>289</v>
      </c>
      <c r="I48" s="3">
        <v>1</v>
      </c>
      <c r="J48" s="6"/>
      <c r="K48" s="4" t="s">
        <v>163</v>
      </c>
      <c r="L48" s="3">
        <v>20</v>
      </c>
      <c r="M48" s="6"/>
    </row>
    <row r="49" spans="1:13" x14ac:dyDescent="0.25">
      <c r="A49" s="10" t="s">
        <v>239</v>
      </c>
      <c r="B49" s="10" t="s">
        <v>240</v>
      </c>
      <c r="C49" s="3"/>
      <c r="D49" s="4" t="s">
        <v>290</v>
      </c>
      <c r="E49" s="5" t="s">
        <v>291</v>
      </c>
      <c r="F49" s="6" t="s">
        <v>292</v>
      </c>
      <c r="G49" s="6" t="s">
        <v>293</v>
      </c>
      <c r="H49" s="6" t="s">
        <v>294</v>
      </c>
      <c r="I49" s="3">
        <v>1</v>
      </c>
      <c r="J49" s="6"/>
      <c r="K49" s="4" t="s">
        <v>163</v>
      </c>
      <c r="L49" s="3">
        <v>20</v>
      </c>
      <c r="M49" s="6"/>
    </row>
    <row r="50" spans="1:13" ht="38.25" x14ac:dyDescent="0.25">
      <c r="A50" s="10" t="s">
        <v>239</v>
      </c>
      <c r="B50" s="10" t="s">
        <v>240</v>
      </c>
      <c r="C50" s="3"/>
      <c r="D50" s="4" t="s">
        <v>295</v>
      </c>
      <c r="E50" s="5" t="s">
        <v>296</v>
      </c>
      <c r="F50" s="6" t="s">
        <v>297</v>
      </c>
      <c r="G50" s="6" t="s">
        <v>298</v>
      </c>
      <c r="H50" s="6" t="s">
        <v>299</v>
      </c>
      <c r="I50" s="3">
        <v>1</v>
      </c>
      <c r="J50" s="6" t="s">
        <v>300</v>
      </c>
      <c r="K50" s="4" t="s">
        <v>163</v>
      </c>
      <c r="L50" s="3">
        <v>20</v>
      </c>
      <c r="M50" s="6"/>
    </row>
    <row r="51" spans="1:13" x14ac:dyDescent="0.25">
      <c r="A51" s="10" t="s">
        <v>239</v>
      </c>
      <c r="B51" s="10" t="s">
        <v>240</v>
      </c>
      <c r="C51" s="3"/>
      <c r="D51" s="4" t="s">
        <v>301</v>
      </c>
      <c r="E51" s="5" t="s">
        <v>302</v>
      </c>
      <c r="F51" s="6" t="s">
        <v>303</v>
      </c>
      <c r="G51" s="6" t="s">
        <v>304</v>
      </c>
      <c r="H51" s="6" t="s">
        <v>305</v>
      </c>
      <c r="I51" s="3">
        <v>1</v>
      </c>
      <c r="J51" s="6"/>
      <c r="K51" s="4" t="s">
        <v>163</v>
      </c>
      <c r="L51" s="3">
        <v>20</v>
      </c>
      <c r="M51" s="6"/>
    </row>
    <row r="52" spans="1:13" x14ac:dyDescent="0.25">
      <c r="A52" s="10" t="s">
        <v>239</v>
      </c>
      <c r="B52" s="10" t="s">
        <v>240</v>
      </c>
      <c r="C52" s="3"/>
      <c r="D52" s="4" t="s">
        <v>306</v>
      </c>
      <c r="E52" s="5" t="s">
        <v>307</v>
      </c>
      <c r="F52" s="6" t="s">
        <v>308</v>
      </c>
      <c r="G52" s="6" t="s">
        <v>309</v>
      </c>
      <c r="H52" s="6" t="s">
        <v>310</v>
      </c>
      <c r="I52" s="3">
        <v>1</v>
      </c>
      <c r="J52" s="6"/>
      <c r="K52" s="4" t="s">
        <v>163</v>
      </c>
      <c r="L52" s="3">
        <v>20</v>
      </c>
      <c r="M52" s="6"/>
    </row>
    <row r="53" spans="1:13" x14ac:dyDescent="0.25">
      <c r="A53" s="10" t="s">
        <v>239</v>
      </c>
      <c r="B53" s="10" t="s">
        <v>240</v>
      </c>
      <c r="C53" s="3"/>
      <c r="D53" s="4" t="s">
        <v>311</v>
      </c>
      <c r="E53" s="5" t="s">
        <v>312</v>
      </c>
      <c r="F53" s="6" t="s">
        <v>313</v>
      </c>
      <c r="G53" s="6" t="s">
        <v>314</v>
      </c>
      <c r="H53" s="6" t="s">
        <v>315</v>
      </c>
      <c r="I53" s="3">
        <v>1</v>
      </c>
      <c r="J53" s="6"/>
      <c r="K53" s="4" t="s">
        <v>163</v>
      </c>
      <c r="L53" s="3">
        <v>20</v>
      </c>
      <c r="M53" s="6"/>
    </row>
    <row r="54" spans="1:13" ht="25.5" x14ac:dyDescent="0.25">
      <c r="A54" s="10" t="s">
        <v>239</v>
      </c>
      <c r="B54" s="10" t="s">
        <v>372</v>
      </c>
      <c r="C54" s="3"/>
      <c r="D54" s="4" t="s">
        <v>316</v>
      </c>
      <c r="E54" s="5" t="s">
        <v>317</v>
      </c>
      <c r="F54" s="6" t="s">
        <v>318</v>
      </c>
      <c r="G54" s="6" t="s">
        <v>319</v>
      </c>
      <c r="H54" s="6" t="s">
        <v>320</v>
      </c>
      <c r="I54" s="3">
        <v>1</v>
      </c>
      <c r="J54" s="6" t="s">
        <v>321</v>
      </c>
      <c r="K54" s="4" t="s">
        <v>163</v>
      </c>
      <c r="L54" s="3">
        <v>20</v>
      </c>
      <c r="M54" s="6"/>
    </row>
    <row r="55" spans="1:13" x14ac:dyDescent="0.25">
      <c r="A55" s="10" t="s">
        <v>239</v>
      </c>
      <c r="B55" s="10" t="s">
        <v>501</v>
      </c>
      <c r="C55" s="3"/>
      <c r="D55" s="4" t="s">
        <v>493</v>
      </c>
      <c r="E55" s="5" t="s">
        <v>494</v>
      </c>
      <c r="F55" s="6" t="s">
        <v>495</v>
      </c>
      <c r="G55" s="6" t="s">
        <v>496</v>
      </c>
      <c r="H55" s="6">
        <v>911</v>
      </c>
      <c r="I55" s="3">
        <v>1</v>
      </c>
      <c r="J55" s="6"/>
      <c r="K55" s="4" t="s">
        <v>163</v>
      </c>
      <c r="L55" s="3">
        <v>20</v>
      </c>
      <c r="M55" s="6"/>
    </row>
    <row r="56" spans="1:13" ht="51.75" customHeight="1" x14ac:dyDescent="0.25">
      <c r="A56" s="10"/>
      <c r="B56" s="10"/>
      <c r="C56" s="3"/>
      <c r="D56" s="4"/>
      <c r="E56" s="5"/>
      <c r="F56" s="6"/>
      <c r="G56" s="6"/>
      <c r="H56" s="6"/>
      <c r="I56" s="3"/>
      <c r="J56" s="6"/>
      <c r="K56" s="4"/>
      <c r="L56" s="3"/>
      <c r="M56" s="6" t="s">
        <v>502</v>
      </c>
    </row>
    <row r="57" spans="1:13" ht="25.5" x14ac:dyDescent="0.25">
      <c r="A57" s="10" t="s">
        <v>239</v>
      </c>
      <c r="B57" s="10" t="s">
        <v>322</v>
      </c>
      <c r="C57" s="3"/>
      <c r="D57" s="4" t="s">
        <v>323</v>
      </c>
      <c r="E57" s="5" t="s">
        <v>324</v>
      </c>
      <c r="F57" s="6" t="s">
        <v>325</v>
      </c>
      <c r="G57" s="6" t="s">
        <v>326</v>
      </c>
      <c r="H57" s="6" t="s">
        <v>327</v>
      </c>
      <c r="I57" s="3">
        <v>1</v>
      </c>
      <c r="J57" s="6" t="s">
        <v>497</v>
      </c>
      <c r="K57" s="4" t="s">
        <v>163</v>
      </c>
      <c r="L57" s="3">
        <v>20</v>
      </c>
      <c r="M57" s="6"/>
    </row>
    <row r="58" spans="1:13" ht="51" x14ac:dyDescent="0.25">
      <c r="A58" s="10" t="s">
        <v>239</v>
      </c>
      <c r="B58" s="10" t="s">
        <v>322</v>
      </c>
      <c r="C58" s="3"/>
      <c r="D58" s="4" t="s">
        <v>328</v>
      </c>
      <c r="E58" s="5" t="s">
        <v>329</v>
      </c>
      <c r="F58" s="6" t="s">
        <v>330</v>
      </c>
      <c r="G58" s="6" t="s">
        <v>331</v>
      </c>
      <c r="H58" s="6" t="s">
        <v>332</v>
      </c>
      <c r="I58" s="3">
        <v>9</v>
      </c>
      <c r="J58" s="6" t="s">
        <v>333</v>
      </c>
      <c r="K58" s="4" t="s">
        <v>163</v>
      </c>
      <c r="L58" s="3">
        <v>20</v>
      </c>
      <c r="M58" s="6"/>
    </row>
    <row r="59" spans="1:13" x14ac:dyDescent="0.25">
      <c r="A59" s="10" t="s">
        <v>239</v>
      </c>
      <c r="B59" s="10" t="s">
        <v>322</v>
      </c>
      <c r="C59" s="3"/>
      <c r="D59" s="4" t="s">
        <v>334</v>
      </c>
      <c r="E59" s="5" t="s">
        <v>335</v>
      </c>
      <c r="F59" s="6" t="s">
        <v>336</v>
      </c>
      <c r="G59" s="6" t="s">
        <v>337</v>
      </c>
      <c r="H59" s="6" t="s">
        <v>338</v>
      </c>
      <c r="I59" s="3">
        <v>1</v>
      </c>
      <c r="J59" s="6"/>
      <c r="K59" s="4" t="s">
        <v>163</v>
      </c>
      <c r="L59" s="3">
        <v>20</v>
      </c>
      <c r="M59" s="6"/>
    </row>
    <row r="60" spans="1:13" ht="25.5" x14ac:dyDescent="0.25">
      <c r="A60" s="10" t="s">
        <v>239</v>
      </c>
      <c r="B60" s="10" t="s">
        <v>322</v>
      </c>
      <c r="C60" s="3"/>
      <c r="D60" s="4" t="s">
        <v>339</v>
      </c>
      <c r="E60" s="5" t="s">
        <v>340</v>
      </c>
      <c r="F60" s="6" t="s">
        <v>341</v>
      </c>
      <c r="G60" s="6" t="s">
        <v>342</v>
      </c>
      <c r="H60" s="6" t="s">
        <v>343</v>
      </c>
      <c r="I60" s="3">
        <v>1</v>
      </c>
      <c r="J60" s="6" t="s">
        <v>344</v>
      </c>
      <c r="K60" s="4" t="s">
        <v>163</v>
      </c>
      <c r="L60" s="3">
        <v>20</v>
      </c>
      <c r="M60" s="6"/>
    </row>
    <row r="61" spans="1:13" x14ac:dyDescent="0.25">
      <c r="A61" s="10" t="s">
        <v>239</v>
      </c>
      <c r="B61" s="10" t="s">
        <v>322</v>
      </c>
      <c r="C61" s="3"/>
      <c r="D61" s="4" t="s">
        <v>345</v>
      </c>
      <c r="E61" s="5" t="s">
        <v>346</v>
      </c>
      <c r="F61" s="6" t="s">
        <v>347</v>
      </c>
      <c r="G61" s="6" t="s">
        <v>348</v>
      </c>
      <c r="H61" s="6" t="s">
        <v>349</v>
      </c>
      <c r="I61" s="3">
        <v>1</v>
      </c>
      <c r="J61" s="6"/>
      <c r="K61" s="4" t="s">
        <v>163</v>
      </c>
      <c r="L61" s="3">
        <v>20</v>
      </c>
      <c r="M61" s="6"/>
    </row>
    <row r="62" spans="1:13" x14ac:dyDescent="0.25">
      <c r="A62" s="10" t="s">
        <v>239</v>
      </c>
      <c r="B62" s="10" t="s">
        <v>322</v>
      </c>
      <c r="C62" s="3"/>
      <c r="D62" s="4" t="s">
        <v>350</v>
      </c>
      <c r="E62" s="5" t="s">
        <v>351</v>
      </c>
      <c r="F62" s="6" t="s">
        <v>352</v>
      </c>
      <c r="G62" s="6" t="s">
        <v>353</v>
      </c>
      <c r="H62" s="6" t="s">
        <v>354</v>
      </c>
      <c r="I62" s="3">
        <v>1</v>
      </c>
      <c r="J62" s="6"/>
      <c r="K62" s="4" t="s">
        <v>163</v>
      </c>
      <c r="L62" s="3">
        <v>20</v>
      </c>
      <c r="M62" s="6"/>
    </row>
    <row r="63" spans="1:13" x14ac:dyDescent="0.25">
      <c r="A63" s="10" t="s">
        <v>239</v>
      </c>
      <c r="B63" s="10" t="s">
        <v>322</v>
      </c>
      <c r="C63" s="3"/>
      <c r="D63" s="4" t="s">
        <v>355</v>
      </c>
      <c r="E63" s="5" t="s">
        <v>356</v>
      </c>
      <c r="F63" s="6" t="s">
        <v>357</v>
      </c>
      <c r="G63" s="6" t="s">
        <v>358</v>
      </c>
      <c r="H63" s="6" t="s">
        <v>359</v>
      </c>
      <c r="I63" s="3">
        <v>1</v>
      </c>
      <c r="J63" s="6"/>
      <c r="K63" s="4" t="s">
        <v>163</v>
      </c>
      <c r="L63" s="3">
        <v>20</v>
      </c>
      <c r="M63" s="6"/>
    </row>
    <row r="64" spans="1:13" ht="25.5" x14ac:dyDescent="0.25">
      <c r="A64" s="10"/>
      <c r="B64" s="10"/>
      <c r="C64" s="3"/>
      <c r="D64" s="4"/>
      <c r="E64" s="5"/>
      <c r="F64" s="6"/>
      <c r="G64" s="6"/>
      <c r="H64" s="6"/>
      <c r="I64" s="3"/>
      <c r="J64" s="6"/>
      <c r="K64" s="4"/>
      <c r="L64" s="3"/>
      <c r="M64" s="6" t="s">
        <v>506</v>
      </c>
    </row>
    <row r="65" spans="1:13" ht="25.5" x14ac:dyDescent="0.25">
      <c r="A65" s="10" t="s">
        <v>239</v>
      </c>
      <c r="B65" s="10" t="s">
        <v>322</v>
      </c>
      <c r="C65" s="3"/>
      <c r="D65" s="4" t="s">
        <v>360</v>
      </c>
      <c r="E65" s="5" t="s">
        <v>361</v>
      </c>
      <c r="F65" s="6" t="s">
        <v>362</v>
      </c>
      <c r="G65" s="6" t="s">
        <v>363</v>
      </c>
      <c r="H65" s="6" t="s">
        <v>364</v>
      </c>
      <c r="I65" s="3">
        <v>1</v>
      </c>
      <c r="J65" s="6" t="s">
        <v>365</v>
      </c>
      <c r="K65" s="4" t="s">
        <v>163</v>
      </c>
      <c r="L65" s="3">
        <v>20</v>
      </c>
      <c r="M65" s="6"/>
    </row>
    <row r="66" spans="1:13" ht="25.5" x14ac:dyDescent="0.25">
      <c r="A66" s="10" t="s">
        <v>239</v>
      </c>
      <c r="B66" s="10" t="s">
        <v>322</v>
      </c>
      <c r="C66" s="3"/>
      <c r="D66" s="4" t="s">
        <v>366</v>
      </c>
      <c r="E66" s="5" t="s">
        <v>367</v>
      </c>
      <c r="F66" s="6" t="s">
        <v>368</v>
      </c>
      <c r="G66" s="6" t="s">
        <v>369</v>
      </c>
      <c r="H66" s="6" t="s">
        <v>370</v>
      </c>
      <c r="I66" s="3">
        <v>1</v>
      </c>
      <c r="J66" s="6" t="s">
        <v>371</v>
      </c>
      <c r="K66" s="4" t="s">
        <v>163</v>
      </c>
      <c r="L66" s="3">
        <v>20</v>
      </c>
      <c r="M66" s="6" t="s">
        <v>505</v>
      </c>
    </row>
    <row r="67" spans="1:13" x14ac:dyDescent="0.25">
      <c r="A67" s="10" t="s">
        <v>239</v>
      </c>
      <c r="B67" s="10" t="s">
        <v>322</v>
      </c>
      <c r="C67" s="3"/>
      <c r="D67" s="4" t="s">
        <v>499</v>
      </c>
      <c r="E67" s="5" t="s">
        <v>498</v>
      </c>
      <c r="F67" s="6" t="s">
        <v>504</v>
      </c>
      <c r="G67" s="6" t="s">
        <v>503</v>
      </c>
      <c r="H67" s="6">
        <v>7</v>
      </c>
      <c r="I67" s="3">
        <v>1</v>
      </c>
      <c r="J67" s="6" t="s">
        <v>500</v>
      </c>
      <c r="K67" s="4"/>
      <c r="L67" s="3"/>
      <c r="M67" s="6"/>
    </row>
    <row r="68" spans="1:13" ht="25.5" x14ac:dyDescent="0.25">
      <c r="A68" s="10" t="s">
        <v>239</v>
      </c>
      <c r="B68" s="10" t="s">
        <v>372</v>
      </c>
      <c r="C68" s="3"/>
      <c r="D68" s="4" t="s">
        <v>373</v>
      </c>
      <c r="E68" s="5" t="s">
        <v>374</v>
      </c>
      <c r="F68" s="6" t="s">
        <v>375</v>
      </c>
      <c r="G68" s="6" t="s">
        <v>376</v>
      </c>
      <c r="H68" s="6" t="s">
        <v>377</v>
      </c>
      <c r="I68" s="3">
        <v>1</v>
      </c>
      <c r="J68" s="6" t="s">
        <v>378</v>
      </c>
      <c r="K68" s="4" t="s">
        <v>20</v>
      </c>
      <c r="L68" s="3">
        <v>20</v>
      </c>
      <c r="M68" s="6"/>
    </row>
    <row r="69" spans="1:13" ht="25.5" x14ac:dyDescent="0.25">
      <c r="A69" s="10" t="s">
        <v>239</v>
      </c>
      <c r="B69" s="10" t="s">
        <v>372</v>
      </c>
      <c r="C69" s="3"/>
      <c r="D69" s="4" t="s">
        <v>379</v>
      </c>
      <c r="E69" s="5" t="s">
        <v>380</v>
      </c>
      <c r="F69" s="6" t="s">
        <v>381</v>
      </c>
      <c r="G69" s="6" t="s">
        <v>382</v>
      </c>
      <c r="H69" s="6" t="s">
        <v>383</v>
      </c>
      <c r="I69" s="3">
        <v>1</v>
      </c>
      <c r="J69" s="6" t="s">
        <v>384</v>
      </c>
      <c r="K69" s="4" t="s">
        <v>20</v>
      </c>
      <c r="L69" s="3">
        <v>20</v>
      </c>
      <c r="M69" s="6"/>
    </row>
    <row r="70" spans="1:13" ht="25.5" x14ac:dyDescent="0.25">
      <c r="A70" s="10" t="s">
        <v>239</v>
      </c>
      <c r="B70" s="10" t="s">
        <v>372</v>
      </c>
      <c r="C70" s="3"/>
      <c r="D70" s="4" t="s">
        <v>385</v>
      </c>
      <c r="E70" s="5" t="s">
        <v>386</v>
      </c>
      <c r="F70" s="6" t="s">
        <v>387</v>
      </c>
      <c r="G70" s="6" t="s">
        <v>388</v>
      </c>
      <c r="H70" s="6" t="s">
        <v>389</v>
      </c>
      <c r="I70" s="3">
        <v>1</v>
      </c>
      <c r="J70" s="6" t="s">
        <v>390</v>
      </c>
      <c r="K70" s="4" t="s">
        <v>20</v>
      </c>
      <c r="L70" s="3">
        <v>20</v>
      </c>
      <c r="M70" s="6"/>
    </row>
    <row r="71" spans="1:13" ht="25.5" x14ac:dyDescent="0.25">
      <c r="A71" s="10" t="s">
        <v>239</v>
      </c>
      <c r="B71" s="10" t="s">
        <v>372</v>
      </c>
      <c r="C71" s="3"/>
      <c r="D71" s="4" t="s">
        <v>391</v>
      </c>
      <c r="E71" s="5" t="s">
        <v>392</v>
      </c>
      <c r="F71" s="6" t="s">
        <v>393</v>
      </c>
      <c r="G71" s="6" t="s">
        <v>394</v>
      </c>
      <c r="H71" s="6" t="s">
        <v>395</v>
      </c>
      <c r="I71" s="3">
        <v>2</v>
      </c>
      <c r="J71" s="6" t="s">
        <v>396</v>
      </c>
      <c r="K71" s="4" t="s">
        <v>20</v>
      </c>
      <c r="L71" s="3">
        <v>20</v>
      </c>
      <c r="M71" s="6"/>
    </row>
    <row r="72" spans="1:13" ht="25.5" x14ac:dyDescent="0.25">
      <c r="A72" s="10" t="s">
        <v>239</v>
      </c>
      <c r="B72" s="10" t="s">
        <v>372</v>
      </c>
      <c r="C72" s="3"/>
      <c r="D72" s="4" t="s">
        <v>397</v>
      </c>
      <c r="E72" s="5" t="s">
        <v>398</v>
      </c>
      <c r="F72" s="6" t="s">
        <v>399</v>
      </c>
      <c r="G72" s="6" t="s">
        <v>400</v>
      </c>
      <c r="H72" s="6" t="s">
        <v>401</v>
      </c>
      <c r="I72" s="3">
        <v>1</v>
      </c>
      <c r="J72" s="6" t="s">
        <v>402</v>
      </c>
      <c r="K72" s="4" t="s">
        <v>163</v>
      </c>
      <c r="L72" s="3">
        <v>20</v>
      </c>
      <c r="M72" s="6"/>
    </row>
    <row r="73" spans="1:13" ht="25.5" x14ac:dyDescent="0.25">
      <c r="A73" s="10" t="s">
        <v>239</v>
      </c>
      <c r="B73" s="10" t="s">
        <v>372</v>
      </c>
      <c r="C73" s="3"/>
      <c r="D73" s="4" t="s">
        <v>403</v>
      </c>
      <c r="E73" s="5" t="s">
        <v>404</v>
      </c>
      <c r="F73" s="6" t="s">
        <v>405</v>
      </c>
      <c r="G73" s="6" t="s">
        <v>406</v>
      </c>
      <c r="H73" s="6" t="s">
        <v>407</v>
      </c>
      <c r="I73" s="3">
        <v>1</v>
      </c>
      <c r="J73" s="6" t="s">
        <v>408</v>
      </c>
      <c r="K73" s="4" t="s">
        <v>163</v>
      </c>
      <c r="L73" s="3">
        <v>20</v>
      </c>
      <c r="M73" s="6"/>
    </row>
    <row r="74" spans="1:13" x14ac:dyDescent="0.25">
      <c r="A74" s="10" t="s">
        <v>239</v>
      </c>
      <c r="B74" s="10" t="s">
        <v>372</v>
      </c>
      <c r="C74" s="3"/>
      <c r="D74" s="4" t="s">
        <v>409</v>
      </c>
      <c r="E74" s="5" t="s">
        <v>410</v>
      </c>
      <c r="F74" s="6" t="s">
        <v>411</v>
      </c>
      <c r="G74" s="6" t="s">
        <v>412</v>
      </c>
      <c r="H74" s="6" t="s">
        <v>413</v>
      </c>
      <c r="I74" s="3">
        <v>1</v>
      </c>
      <c r="J74" s="6"/>
      <c r="K74" s="4" t="s">
        <v>163</v>
      </c>
      <c r="L74" s="3">
        <v>20</v>
      </c>
      <c r="M74" s="6"/>
    </row>
    <row r="75" spans="1:13" x14ac:dyDescent="0.25">
      <c r="A75" s="10" t="s">
        <v>239</v>
      </c>
      <c r="B75" s="10" t="s">
        <v>372</v>
      </c>
      <c r="C75" s="3"/>
      <c r="D75" s="4" t="s">
        <v>414</v>
      </c>
      <c r="E75" s="5" t="s">
        <v>415</v>
      </c>
      <c r="F75" s="6" t="s">
        <v>416</v>
      </c>
      <c r="G75" s="6" t="s">
        <v>417</v>
      </c>
      <c r="H75" s="6" t="s">
        <v>418</v>
      </c>
      <c r="I75" s="3">
        <v>1</v>
      </c>
      <c r="J75" s="6" t="s">
        <v>508</v>
      </c>
      <c r="K75" s="4" t="s">
        <v>163</v>
      </c>
      <c r="L75" s="3">
        <v>20</v>
      </c>
      <c r="M75" s="6" t="s">
        <v>507</v>
      </c>
    </row>
    <row r="76" spans="1:13" x14ac:dyDescent="0.25">
      <c r="A76" s="10" t="s">
        <v>239</v>
      </c>
      <c r="B76" s="10" t="s">
        <v>372</v>
      </c>
      <c r="C76" s="3"/>
      <c r="D76" s="4" t="s">
        <v>419</v>
      </c>
      <c r="E76" s="5" t="s">
        <v>420</v>
      </c>
      <c r="F76" s="6" t="s">
        <v>421</v>
      </c>
      <c r="G76" s="6" t="s">
        <v>422</v>
      </c>
      <c r="H76" s="6" t="s">
        <v>423</v>
      </c>
      <c r="I76" s="3">
        <v>1</v>
      </c>
      <c r="J76" s="6"/>
      <c r="K76" s="4" t="s">
        <v>163</v>
      </c>
      <c r="L76" s="3">
        <v>20</v>
      </c>
      <c r="M76" s="6"/>
    </row>
    <row r="77" spans="1:13" x14ac:dyDescent="0.25">
      <c r="A77" s="10" t="s">
        <v>239</v>
      </c>
      <c r="B77" s="10" t="s">
        <v>372</v>
      </c>
      <c r="C77" s="3"/>
      <c r="D77" s="4" t="s">
        <v>424</v>
      </c>
      <c r="E77" s="5" t="s">
        <v>425</v>
      </c>
      <c r="F77" s="6" t="s">
        <v>426</v>
      </c>
      <c r="G77" s="6" t="s">
        <v>427</v>
      </c>
      <c r="H77" s="6" t="s">
        <v>428</v>
      </c>
      <c r="I77" s="3">
        <v>1</v>
      </c>
      <c r="J77" s="6"/>
      <c r="K77" s="4" t="s">
        <v>163</v>
      </c>
      <c r="L77" s="3">
        <v>20</v>
      </c>
      <c r="M77" s="6"/>
    </row>
    <row r="78" spans="1:13" ht="63.75" x14ac:dyDescent="0.25">
      <c r="A78" s="10" t="s">
        <v>239</v>
      </c>
      <c r="B78" s="10" t="s">
        <v>429</v>
      </c>
      <c r="C78" s="3"/>
      <c r="D78" s="4" t="s">
        <v>430</v>
      </c>
      <c r="E78" s="5" t="s">
        <v>431</v>
      </c>
      <c r="F78" s="6" t="s">
        <v>432</v>
      </c>
      <c r="G78" s="6" t="s">
        <v>433</v>
      </c>
      <c r="H78" s="6" t="s">
        <v>434</v>
      </c>
      <c r="I78" s="3">
        <v>1</v>
      </c>
      <c r="J78" s="6" t="s">
        <v>435</v>
      </c>
      <c r="K78" s="4" t="s">
        <v>163</v>
      </c>
      <c r="L78" s="3">
        <v>20</v>
      </c>
      <c r="M78" s="6"/>
    </row>
    <row r="79" spans="1:13" ht="38.25" x14ac:dyDescent="0.25">
      <c r="A79" s="10" t="s">
        <v>239</v>
      </c>
      <c r="B79" s="10" t="s">
        <v>429</v>
      </c>
      <c r="C79" s="3"/>
      <c r="D79" s="4" t="s">
        <v>436</v>
      </c>
      <c r="E79" s="5" t="s">
        <v>437</v>
      </c>
      <c r="F79" s="6" t="s">
        <v>438</v>
      </c>
      <c r="G79" s="6" t="s">
        <v>439</v>
      </c>
      <c r="H79" s="6" t="s">
        <v>440</v>
      </c>
      <c r="I79" s="3">
        <v>1</v>
      </c>
      <c r="J79" s="6" t="s">
        <v>441</v>
      </c>
      <c r="K79" s="4" t="s">
        <v>163</v>
      </c>
      <c r="L79" s="3">
        <v>20</v>
      </c>
      <c r="M79" s="6"/>
    </row>
    <row r="80" spans="1:13" ht="38.25" x14ac:dyDescent="0.25">
      <c r="A80" s="10" t="s">
        <v>239</v>
      </c>
      <c r="B80" s="10" t="s">
        <v>429</v>
      </c>
      <c r="C80" s="3"/>
      <c r="D80" s="4" t="s">
        <v>442</v>
      </c>
      <c r="E80" s="5" t="s">
        <v>443</v>
      </c>
      <c r="F80" s="6" t="s">
        <v>444</v>
      </c>
      <c r="G80" s="6" t="s">
        <v>445</v>
      </c>
      <c r="H80" s="6" t="s">
        <v>446</v>
      </c>
      <c r="I80" s="3">
        <v>1</v>
      </c>
      <c r="J80" s="6" t="s">
        <v>447</v>
      </c>
      <c r="K80" s="4" t="s">
        <v>163</v>
      </c>
      <c r="L80" s="3">
        <v>20</v>
      </c>
      <c r="M80" s="6"/>
    </row>
    <row r="81" spans="1:13" ht="38.25" x14ac:dyDescent="0.25">
      <c r="A81" s="11" t="s">
        <v>448</v>
      </c>
      <c r="B81" s="11" t="s">
        <v>448</v>
      </c>
      <c r="C81" s="3"/>
      <c r="D81" s="4" t="s">
        <v>449</v>
      </c>
      <c r="E81" s="5" t="s">
        <v>450</v>
      </c>
      <c r="F81" s="6" t="s">
        <v>451</v>
      </c>
      <c r="G81" s="6" t="s">
        <v>452</v>
      </c>
      <c r="H81" s="6" t="s">
        <v>453</v>
      </c>
      <c r="I81" s="3">
        <v>1</v>
      </c>
      <c r="J81" s="6" t="s">
        <v>454</v>
      </c>
      <c r="K81" s="4" t="s">
        <v>20</v>
      </c>
      <c r="L81" s="3">
        <v>20</v>
      </c>
      <c r="M81" s="6"/>
    </row>
  </sheetData>
  <autoFilter ref="A1:M8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6"/>
  <sheetViews>
    <sheetView workbookViewId="0"/>
  </sheetViews>
  <sheetFormatPr defaultRowHeight="15" x14ac:dyDescent="0.25"/>
  <cols>
    <col min="1" max="1" width="110" customWidth="1"/>
    <col min="2" max="4" width="12" customWidth="1"/>
  </cols>
  <sheetData>
    <row r="1" spans="1:4" ht="18" x14ac:dyDescent="0.25">
      <c r="A1" s="12" t="s">
        <v>455</v>
      </c>
    </row>
    <row r="2" spans="1:4" x14ac:dyDescent="0.25">
      <c r="A2" s="13" t="s">
        <v>456</v>
      </c>
    </row>
    <row r="4" spans="1:4" x14ac:dyDescent="0.25">
      <c r="A4" s="14" t="s">
        <v>1</v>
      </c>
      <c r="B4" s="14" t="s">
        <v>457</v>
      </c>
      <c r="C4" s="14" t="s">
        <v>458</v>
      </c>
      <c r="D4" s="14" t="s">
        <v>459</v>
      </c>
    </row>
    <row r="5" spans="1:4" x14ac:dyDescent="0.25">
      <c r="A5" s="15" t="s">
        <v>13</v>
      </c>
      <c r="B5" s="15">
        <f>COUNTIF(Achievements!$B$2:$B$81,A5)</f>
        <v>16</v>
      </c>
      <c r="C5" s="15">
        <v>20</v>
      </c>
      <c r="D5" s="15">
        <f t="shared" ref="D5:D13" si="0">B5*C5</f>
        <v>320</v>
      </c>
    </row>
    <row r="6" spans="1:4" x14ac:dyDescent="0.25">
      <c r="A6" s="15" t="s">
        <v>107</v>
      </c>
      <c r="B6" s="15">
        <f>COUNTIF(Achievements!$B$2:$B$81,A6)</f>
        <v>3</v>
      </c>
      <c r="C6" s="15">
        <v>20</v>
      </c>
      <c r="D6" s="15">
        <f t="shared" si="0"/>
        <v>60</v>
      </c>
    </row>
    <row r="7" spans="1:4" x14ac:dyDescent="0.25">
      <c r="A7" s="15" t="s">
        <v>126</v>
      </c>
      <c r="B7" s="15">
        <f>COUNTIF(Achievements!$B$2:$B$81,A7)</f>
        <v>13</v>
      </c>
      <c r="C7" s="15">
        <v>20</v>
      </c>
      <c r="D7" s="15">
        <f t="shared" si="0"/>
        <v>260</v>
      </c>
    </row>
    <row r="8" spans="1:4" x14ac:dyDescent="0.25">
      <c r="A8" s="15" t="s">
        <v>202</v>
      </c>
      <c r="B8" s="15">
        <f>COUNTIF(Achievements!$B$2:$B$81,A8)</f>
        <v>6</v>
      </c>
      <c r="C8" s="15">
        <v>20</v>
      </c>
      <c r="D8" s="15">
        <f t="shared" si="0"/>
        <v>120</v>
      </c>
    </row>
    <row r="9" spans="1:4" x14ac:dyDescent="0.25">
      <c r="A9" s="15" t="s">
        <v>240</v>
      </c>
      <c r="B9" s="15">
        <f>COUNTIF(Achievements!$B$2:$B$81,A9)</f>
        <v>12</v>
      </c>
      <c r="C9" s="15">
        <v>20</v>
      </c>
      <c r="D9" s="15">
        <f t="shared" si="0"/>
        <v>240</v>
      </c>
    </row>
    <row r="10" spans="1:4" x14ac:dyDescent="0.25">
      <c r="A10" s="15" t="s">
        <v>322</v>
      </c>
      <c r="B10" s="15">
        <f>COUNTIF(Achievements!$B$2:$B$81,A10)</f>
        <v>10</v>
      </c>
      <c r="C10" s="15">
        <v>20</v>
      </c>
      <c r="D10" s="15">
        <f t="shared" si="0"/>
        <v>200</v>
      </c>
    </row>
    <row r="11" spans="1:4" x14ac:dyDescent="0.25">
      <c r="A11" s="15" t="s">
        <v>372</v>
      </c>
      <c r="B11" s="15">
        <f>COUNTIF(Achievements!$B$2:$B$81,A11)</f>
        <v>13</v>
      </c>
      <c r="C11" s="15">
        <v>20</v>
      </c>
      <c r="D11" s="15">
        <f t="shared" si="0"/>
        <v>260</v>
      </c>
    </row>
    <row r="12" spans="1:4" x14ac:dyDescent="0.25">
      <c r="A12" s="15" t="s">
        <v>429</v>
      </c>
      <c r="B12" s="15">
        <f>COUNTIF(Achievements!$B$2:$B$81,A12)</f>
        <v>3</v>
      </c>
      <c r="C12" s="15">
        <v>20</v>
      </c>
      <c r="D12" s="15">
        <f t="shared" si="0"/>
        <v>60</v>
      </c>
    </row>
    <row r="13" spans="1:4" x14ac:dyDescent="0.25">
      <c r="A13" s="15" t="s">
        <v>448</v>
      </c>
      <c r="B13" s="15">
        <f>COUNTIF(Achievements!$B$2:$B$81,A13)</f>
        <v>1</v>
      </c>
      <c r="C13" s="15">
        <v>20</v>
      </c>
      <c r="D13" s="15">
        <f t="shared" si="0"/>
        <v>20</v>
      </c>
    </row>
    <row r="14" spans="1:4" x14ac:dyDescent="0.25">
      <c r="A14" s="16" t="s">
        <v>460</v>
      </c>
      <c r="B14" s="16">
        <f>SUM(B5:B13)</f>
        <v>77</v>
      </c>
      <c r="C14" s="17"/>
      <c r="D14" s="16">
        <f>SUM(D5:D13)</f>
        <v>1540</v>
      </c>
    </row>
    <row r="16" spans="1:4" x14ac:dyDescent="0.25">
      <c r="A16" t="s">
        <v>461</v>
      </c>
      <c r="B16" s="18">
        <v>2000</v>
      </c>
    </row>
    <row r="17" spans="1:2" x14ac:dyDescent="0.25">
      <c r="A17" t="s">
        <v>462</v>
      </c>
      <c r="B17">
        <f>B16-D14</f>
        <v>460</v>
      </c>
    </row>
    <row r="19" spans="1:2" x14ac:dyDescent="0.25">
      <c r="A19" s="19"/>
    </row>
    <row r="20" spans="1:2" x14ac:dyDescent="0.25">
      <c r="A20" s="20" t="s">
        <v>463</v>
      </c>
    </row>
    <row r="21" spans="1:2" x14ac:dyDescent="0.25">
      <c r="A21" s="19" t="s">
        <v>464</v>
      </c>
    </row>
    <row r="22" spans="1:2" x14ac:dyDescent="0.25">
      <c r="A22" s="19" t="s">
        <v>465</v>
      </c>
    </row>
    <row r="23" spans="1:2" x14ac:dyDescent="0.25">
      <c r="A23" s="19"/>
    </row>
    <row r="24" spans="1:2" x14ac:dyDescent="0.25">
      <c r="A24" s="19" t="s">
        <v>466</v>
      </c>
    </row>
    <row r="25" spans="1:2" x14ac:dyDescent="0.25">
      <c r="A25" s="19" t="s">
        <v>467</v>
      </c>
    </row>
    <row r="26" spans="1:2" x14ac:dyDescent="0.25">
      <c r="A26" s="19" t="s">
        <v>468</v>
      </c>
    </row>
    <row r="27" spans="1:2" x14ac:dyDescent="0.25">
      <c r="A27" s="19" t="s">
        <v>469</v>
      </c>
    </row>
    <row r="28" spans="1:2" x14ac:dyDescent="0.25">
      <c r="A28" s="19" t="s">
        <v>470</v>
      </c>
    </row>
    <row r="29" spans="1:2" x14ac:dyDescent="0.25">
      <c r="A29" s="19" t="s">
        <v>471</v>
      </c>
    </row>
    <row r="30" spans="1:2" x14ac:dyDescent="0.25">
      <c r="A30" s="19"/>
    </row>
    <row r="31" spans="1:2" x14ac:dyDescent="0.25">
      <c r="A31" s="19" t="s">
        <v>472</v>
      </c>
    </row>
    <row r="32" spans="1:2" x14ac:dyDescent="0.25">
      <c r="A32" s="19" t="s">
        <v>473</v>
      </c>
    </row>
    <row r="33" spans="1:1" x14ac:dyDescent="0.25">
      <c r="A33" s="19"/>
    </row>
    <row r="34" spans="1:1" x14ac:dyDescent="0.25">
      <c r="A34" s="19" t="s">
        <v>474</v>
      </c>
    </row>
    <row r="35" spans="1:1" x14ac:dyDescent="0.25">
      <c r="A35" s="19" t="s">
        <v>475</v>
      </c>
    </row>
    <row r="36" spans="1:1" x14ac:dyDescent="0.25">
      <c r="A36" s="19"/>
    </row>
    <row r="37" spans="1:1" x14ac:dyDescent="0.25">
      <c r="A37" s="19" t="s">
        <v>476</v>
      </c>
    </row>
    <row r="38" spans="1:1" x14ac:dyDescent="0.25">
      <c r="A38" s="19" t="s">
        <v>477</v>
      </c>
    </row>
    <row r="39" spans="1:1" x14ac:dyDescent="0.25">
      <c r="A39" s="19" t="s">
        <v>478</v>
      </c>
    </row>
    <row r="40" spans="1:1" x14ac:dyDescent="0.25">
      <c r="A40" s="19"/>
    </row>
    <row r="41" spans="1:1" x14ac:dyDescent="0.25">
      <c r="A41" s="20" t="s">
        <v>479</v>
      </c>
    </row>
    <row r="42" spans="1:1" x14ac:dyDescent="0.25">
      <c r="A42" s="19" t="s">
        <v>480</v>
      </c>
    </row>
    <row r="43" spans="1:1" x14ac:dyDescent="0.25">
      <c r="A43" s="19" t="s">
        <v>481</v>
      </c>
    </row>
    <row r="44" spans="1:1" x14ac:dyDescent="0.25">
      <c r="A44" s="19" t="s">
        <v>482</v>
      </c>
    </row>
    <row r="45" spans="1:1" x14ac:dyDescent="0.25">
      <c r="A45" s="19" t="s">
        <v>483</v>
      </c>
    </row>
    <row r="46" spans="1:1" x14ac:dyDescent="0.25">
      <c r="A46" s="19" t="s">
        <v>484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Achievements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DS89 Holdco</cp:lastModifiedBy>
  <dcterms:created xsi:type="dcterms:W3CDTF">2026-08-22T15:19:24Z</dcterms:created>
  <dcterms:modified xsi:type="dcterms:W3CDTF">2026-08-22T15:53:24Z</dcterms:modified>
</cp:coreProperties>
</file>