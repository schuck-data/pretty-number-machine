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S89\Desktop\Pretty Number Machine\docs\"/>
    </mc:Choice>
  </mc:AlternateContent>
  <xr:revisionPtr revIDLastSave="0" documentId="13_ncr:1_{AF36771B-EDC2-44C7-A532-0F4AE229E5AB}" xr6:coauthVersionLast="47" xr6:coauthVersionMax="47" xr10:uidLastSave="{00000000-0000-0000-0000-000000000000}"/>
  <bookViews>
    <workbookView xWindow="-120" yWindow="-120" windowWidth="29040" windowHeight="15720" xr2:uid="{00000000-000D-0000-FFFF-FFFF00000000}"/>
  </bookViews>
  <sheets>
    <sheet name="Achievements" sheetId="1" r:id="rId1"/>
    <sheet name="Summary" sheetId="2" r:id="rId2"/>
  </sheets>
  <definedNames>
    <definedName name="_xlnm._FilterDatabase" localSheetId="0" hidden="1">Achievements!$A$1:$L$85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D13" i="2" s="1"/>
  <c r="B12" i="2"/>
  <c r="D12" i="2" s="1"/>
  <c r="B11" i="2"/>
  <c r="D11" i="2" s="1"/>
  <c r="B10" i="2"/>
  <c r="D10" i="2" s="1"/>
  <c r="B9" i="2"/>
  <c r="D9" i="2" s="1"/>
  <c r="B8" i="2"/>
  <c r="D8" i="2" s="1"/>
  <c r="B7" i="2"/>
  <c r="D7" i="2" s="1"/>
  <c r="B6" i="2"/>
  <c r="D6" i="2" s="1"/>
  <c r="B5" i="2"/>
  <c r="B14" i="2" s="1"/>
  <c r="D5" i="2" l="1"/>
  <c r="D14" i="2" s="1"/>
  <c r="B17" i="2" s="1"/>
</calcChain>
</file>

<file path=xl/sharedStrings.xml><?xml version="1.0" encoding="utf-8"?>
<sst xmlns="http://schemas.openxmlformats.org/spreadsheetml/2006/main" count="778" uniqueCount="530">
  <si>
    <t>Branch</t>
  </si>
  <si>
    <t>Cluster</t>
  </si>
  <si>
    <t>Order</t>
  </si>
  <si>
    <t>ID</t>
  </si>
  <si>
    <t>Name</t>
  </si>
  <si>
    <t>Criteria (Play Console description)</t>
  </si>
  <si>
    <t>Gilds</t>
  </si>
  <si>
    <t>Gild count</t>
  </si>
  <si>
    <t>Blurb (optional)</t>
  </si>
  <si>
    <t>Status</t>
  </si>
  <si>
    <t>XP</t>
  </si>
  <si>
    <t>Tutorial</t>
  </si>
  <si>
    <t>first</t>
  </si>
  <si>
    <t>FIRST!</t>
  </si>
  <si>
    <t>Switch achievements on from the achievements section.</t>
  </si>
  <si>
    <t>2</t>
  </si>
  <si>
    <t>kept</t>
  </si>
  <si>
    <t>exhaustive</t>
  </si>
  <si>
    <t>EXHAUSTIVE!</t>
  </si>
  <si>
    <t>Switch on all integers in range.</t>
  </si>
  <si>
    <t>1000</t>
  </si>
  <si>
    <t>parawhat</t>
  </si>
  <si>
    <t>PARAWHAT?!</t>
  </si>
  <si>
    <t>Turn on or adjust parastichy line visibility.</t>
  </si>
  <si>
    <t>137</t>
  </si>
  <si>
    <t>art</t>
  </si>
  <si>
    <t>ART!</t>
  </si>
  <si>
    <t>Change any appearance setting.</t>
  </si>
  <si>
    <t>433</t>
  </si>
  <si>
    <t>bophades</t>
  </si>
  <si>
    <t>Take node size to its maximum.</t>
  </si>
  <si>
    <t>maximalist</t>
  </si>
  <si>
    <t>MAXIMALIST!</t>
  </si>
  <si>
    <t>Take the range slider to its maximum, 2500.</t>
  </si>
  <si>
    <t>999</t>
  </si>
  <si>
    <t>ceiling</t>
  </si>
  <si>
    <t>CEILING!</t>
  </si>
  <si>
    <t>Set the range to 10000.</t>
  </si>
  <si>
    <t>997</t>
  </si>
  <si>
    <t>zoomies</t>
  </si>
  <si>
    <t>ZOOMIES!</t>
  </si>
  <si>
    <t>Turn morph speed up to maximum.</t>
  </si>
  <si>
    <t>88, 121</t>
  </si>
  <si>
    <t>88 miles an hour, and 1.21 gigawatts.</t>
  </si>
  <si>
    <t>boing</t>
  </si>
  <si>
    <t>BOING!</t>
  </si>
  <si>
    <t>Let the morph reach the Spring form.</t>
  </si>
  <si>
    <t>314</t>
  </si>
  <si>
    <t>trippy</t>
  </si>
  <si>
    <t>TRIPPY!</t>
  </si>
  <si>
    <t>Press Dazzle.</t>
  </si>
  <si>
    <t>nerd</t>
  </si>
  <si>
    <t>NERD!</t>
  </si>
  <si>
    <t>Open the classroom lens.</t>
  </si>
  <si>
    <t>42</t>
  </si>
  <si>
    <t>ouch</t>
  </si>
  <si>
    <t>OUCH!</t>
  </si>
  <si>
    <t>With physics on, drag node 0.</t>
  </si>
  <si>
    <t>149</t>
  </si>
  <si>
    <t>oops</t>
  </si>
  <si>
    <t>OOPS!</t>
  </si>
  <si>
    <t>Get 20 or more nodes further than twice their rest distance from the Sun.</t>
  </si>
  <si>
    <t>641</t>
  </si>
  <si>
    <t>night</t>
  </si>
  <si>
    <t>NIGHT!</t>
  </si>
  <si>
    <t>Switch off the zero node.</t>
  </si>
  <si>
    <t>354</t>
  </si>
  <si>
    <t>void</t>
  </si>
  <si>
    <t>VOID!</t>
  </si>
  <si>
    <t>Deselect every prime.</t>
  </si>
  <si>
    <t>nothing</t>
  </si>
  <si>
    <t>Turn off every prime and two numbers are left: 0 and 1. They are the only ones not built out of primes.</t>
  </si>
  <si>
    <t>empty-set</t>
  </si>
  <si>
    <t>EMPTY SET!</t>
  </si>
  <si>
    <t>Deselect every prime and switch off both 0 and 1.</t>
  </si>
  <si>
    <t>Nothing at all. In maths that is a real thing with its own name and its own symbol.</t>
  </si>
  <si>
    <t>Math</t>
  </si>
  <si>
    <t>Series</t>
  </si>
  <si>
    <t>fibonacci</t>
  </si>
  <si>
    <t>FIBONACCI!</t>
  </si>
  <si>
    <t>Select exactly the five Fibonacci primes and nothing else.</t>
  </si>
  <si>
    <t>Fibonacci numbers to 987</t>
  </si>
  <si>
    <t>The Fibonacci numbers are 1, 1, 2, 3, 5, 8, 13, 21 and so on. Add the last two to get the next. Can be found on the spirals of a pinecone.</t>
  </si>
  <si>
    <t>lucas</t>
  </si>
  <si>
    <t>LUCAS!</t>
  </si>
  <si>
    <t>Select exactly 2, 3, 7, 11, 29 and 47.</t>
  </si>
  <si>
    <t>Lucas numbers to 843</t>
  </si>
  <si>
    <t>The Lucas numbers follow the same rule as the Fibonacci numbers -- add the last two to get the next -- but start 2, 1 instead of 1, 1. You get a completely different sequence that still grows at the golden ratio. The two are twins: change only where you begin.</t>
  </si>
  <si>
    <t>triangular</t>
  </si>
  <si>
    <t>TRIANGULAR!</t>
  </si>
  <si>
    <t>Set the range to 990.</t>
  </si>
  <si>
    <t>triangular numbers to 990</t>
  </si>
  <si>
    <t>Stack coins in a triangle: 1, then 3, then 6, then 10. The nth one is n(n+1)/2, and it is also the number of handshakes in a room of n+1 people. 990 is the largest that fits.</t>
  </si>
  <si>
    <t>new</t>
  </si>
  <si>
    <t>squares</t>
  </si>
  <si>
    <t>SQUARES!</t>
  </si>
  <si>
    <t>Set the range to 961.</t>
  </si>
  <si>
    <t>square numbers to 961</t>
  </si>
  <si>
    <t>Divisors come in pairs: if d divides n, so does n/d. So every number has an even count of divisors -- except when d and n/d are the same number, which happens only for a perfect square. The squares are the only numbers with an odd number of divisors. That is the hundred-lockers puzzle, and the answer is 1, 4, 9, 16, 25, 36, 49, 64, 81, 100.</t>
  </si>
  <si>
    <t>reworked</t>
  </si>
  <si>
    <t>cubes</t>
  </si>
  <si>
    <t>CUBES!</t>
  </si>
  <si>
    <t>Set the range to 729.</t>
  </si>
  <si>
    <t>8, 27, 64, 125, 216, 343, 512, 729, 1000</t>
  </si>
  <si>
    <t>double</t>
  </si>
  <si>
    <t>DOUBLE!</t>
  </si>
  <si>
    <t>Set the range to 512.</t>
  </si>
  <si>
    <t>2, 4, 8, 16, 32, 64, 128, 256, 512</t>
  </si>
  <si>
    <t>Keep doubling. Because a node sits at a distance proportional to the square root of its number, doubling pushes each one about 1.41 times further out than the last -- so they spiral outward with widening gaps, while everything else crowds together.</t>
  </si>
  <si>
    <t>factorial</t>
  </si>
  <si>
    <t>FACTORIAL!</t>
  </si>
  <si>
    <t>Set the range to 720.</t>
  </si>
  <si>
    <t>2, 6, 24, 120, 720</t>
  </si>
  <si>
    <t>Multiply 1 by 2 by 3 by 4 and so on. It gets away from you almost immediately: only five of them fit under a thousand, and the next one is 5,040.</t>
  </si>
  <si>
    <t>ramanujan</t>
  </si>
  <si>
    <t>RAMANUJAN!</t>
  </si>
  <si>
    <t>Set the range to 840.</t>
  </si>
  <si>
    <t>highly composite numbers to 840</t>
  </si>
  <si>
    <t>A highly composite number has more divisors than every number below it. 840 has thirty-two, more than any number under a thousand. Ramanujan named and catalogued them in 1915. They are the exact opposite of primes: primes have no factors at all, and these have as many as it is possible to have.</t>
  </si>
  <si>
    <t>perfect</t>
  </si>
  <si>
    <t>PERFECT!</t>
  </si>
  <si>
    <t>Select exactly 2, 3, 7 and 31.</t>
  </si>
  <si>
    <t>2, 3, 7, 31, 6, 28, 496</t>
  </si>
  <si>
    <t>A perfect number equals the sum of its proper divisors: 6 = 1+2+3, and 28 = 1+2+4+7+14. Euclid proved that 2^(p-1)(2^p - 1) is perfect whenever 2^p - 1 is prime, and Euler proved every even perfect number has that form. So each one is built from a Mersenne prime: 6 = 2x3, 28 = 4x7, 496 = 16x31. Only three exist below 1000; the next is 8128. Whether any odd perfect number exists is still open after two thousand years.</t>
  </si>
  <si>
    <t>euclid</t>
  </si>
  <si>
    <t>EUCLID!</t>
  </si>
  <si>
    <t>Set the range to 211.</t>
  </si>
  <si>
    <t>210, 211</t>
  </si>
  <si>
    <t>Multiply the first four primes: 2 x 3 x 5 x 7 = 210. Add one and you get 211, which is prime. That is Euclid's argument, and it never runs out: multiply any finite list of primes together, add one, and the result is divisible by none of them. So no finite list can be all of them.</t>
  </si>
  <si>
    <t>amicable</t>
  </si>
  <si>
    <t>AMICABLE!</t>
  </si>
  <si>
    <t>Select exactly 2 and 71.</t>
  </si>
  <si>
    <t>220, 284</t>
  </si>
  <si>
    <t>Add up the divisors of 220 and you get 284. Add up the divisors of 284 and you get 220. They are the smallest amicable pair, they are the only one under a thousand, and people have been passing them back and forth as tokens of friendship since Pythagoras.</t>
  </si>
  <si>
    <t>Primes</t>
  </si>
  <si>
    <t>twinning</t>
  </si>
  <si>
    <t>TWINNING!</t>
  </si>
  <si>
    <t>Select exactly two primes that differ by 2.</t>
  </si>
  <si>
    <t>all twin primes to 1000</t>
  </si>
  <si>
    <t>Twin primes are only 2 apart, like 11 and 13. Nobody knows whether they ever stop. People have been trying to find out since 1849.</t>
  </si>
  <si>
    <t>cousins</t>
  </si>
  <si>
    <t>COUSINS!</t>
  </si>
  <si>
    <t>Select exactly two primes that differ by 4.</t>
  </si>
  <si>
    <t>all cousin primes to 1000</t>
  </si>
  <si>
    <t>Primes 4 apart are called cousins. That is the real name.</t>
  </si>
  <si>
    <t>sexy</t>
  </si>
  <si>
    <t>SEXY!</t>
  </si>
  <si>
    <t>Select exactly two primes that differ by 6.</t>
  </si>
  <si>
    <t>all sexy primes to 1000</t>
  </si>
  <si>
    <t>Primes 6 apart are called sexy primes. Sex is Latin for six. Mathematicians named these and nobody stopped them.</t>
  </si>
  <si>
    <t>germain</t>
  </si>
  <si>
    <t>GERMAIN!</t>
  </si>
  <si>
    <t>Select exactly two primes p and q where q = 2p+1.</t>
  </si>
  <si>
    <t>all Sophie Germain primes to 1000</t>
  </si>
  <si>
    <t>Pick a prime, double it, add 1. If that is prime too, the first one is a Sophie Germain prime. Sophie Germain had to sign her work with a man's name to get anyone to read it. She was one of the best mathematicians of her time.</t>
  </si>
  <si>
    <t>emirp</t>
  </si>
  <si>
    <t>EMIRP!</t>
  </si>
  <si>
    <t>Select exactly two primes that are each other's digit reversal.</t>
  </si>
  <si>
    <t>all emirps to 1000</t>
  </si>
  <si>
    <t>Write a prime backwards. If you get a different prime, it is an emirp -- which is 'prime' spelled backwards. There are four pairs in the grid: 13 and 31, 17 and 71, 37 and 73, 79 and 97.</t>
  </si>
  <si>
    <t>happy</t>
  </si>
  <si>
    <t>HAPPY!</t>
  </si>
  <si>
    <t>Select exactly the nine happy primes.</t>
  </si>
  <si>
    <t>all happy primes to 1000</t>
  </si>
  <si>
    <t>Square each digit, add them up, repeat. Every number eventually settles into a loop, because above 1000 the result always shrinks. In base 10 there are only two destinations: the fixed point 1, or an eight-step cycle. The ones that reach 1 are called happy. Note that this is a fact about base 10, not about the integers.</t>
  </si>
  <si>
    <t>euler</t>
  </si>
  <si>
    <t>EULER!</t>
  </si>
  <si>
    <t>Select exactly the ten primes generated by n^2+n+41 for n = 0..9.</t>
  </si>
  <si>
    <t>Euler polynomial primes to 1000</t>
  </si>
  <si>
    <t>Euler's polynomial n^2 + n + 41 is prime for every n from 0 to 39. This is not luck. It fails at n = 40, where 40^2 + 40 + 41 comes to 41 x 41 -- which it had to, because putting n = 41 in makes every term a multiple of 41.</t>
  </si>
  <si>
    <t>mersenne</t>
  </si>
  <si>
    <t>MERSENNE!</t>
  </si>
  <si>
    <t>Select exactly 3, 7, 31 and 127.</t>
  </si>
  <si>
    <t>3, 7, 31, 127</t>
  </si>
  <si>
    <t>Take a power of two and subtract one: 4-1 = 3, 8-1 = 7, 32-1 = 31, 128-1 = 127. When the result is prime it is called a Mersenne prime, and the exponent has to be prime for it to work at all. All four that fit in this grid are here. Every even perfect number is built from one of them.</t>
  </si>
  <si>
    <t>fermat</t>
  </si>
  <si>
    <t>FERMAT!</t>
  </si>
  <si>
    <t>Select exactly 3, 5 and 17.</t>
  </si>
  <si>
    <t>3, 5, 17, 255, 257</t>
  </si>
  <si>
    <t>The Fermat primes are 3, 5, 17, 257 and 65537, and nobody has ever found another. Gauss proved you can construct a regular polygon with compass and straightedge exactly when its number of sides involves these -- which is why a 17-sided figure is possible and a 7-sided one is not. And 3 x 5 x 17 = 255, which is one byte.</t>
  </si>
  <si>
    <t>neat</t>
  </si>
  <si>
    <t>NEAT!</t>
  </si>
  <si>
    <t>Two primes selected, one of them 89, with the range at least 178.</t>
  </si>
  <si>
    <t>89 and its parastichy line</t>
  </si>
  <si>
    <t>Each node sits a little further round the circle than the one before. Turn that far 89 times and you land almost exactly back where you started. So the multiples of 89 stack up in a nearly straight line -- the only spoke in the whole figure.</t>
  </si>
  <si>
    <t>louder</t>
  </si>
  <si>
    <t>LOUDER!</t>
  </si>
  <si>
    <t>Select exactly 11.</t>
  </si>
  <si>
    <t>11</t>
  </si>
  <si>
    <t>11 is a repunit: written with nothing but 1s. It is the smallest two-digit prime, and the only two-digit prime that reads the same backwards.</t>
  </si>
  <si>
    <t>smart</t>
  </si>
  <si>
    <t>SMART!</t>
  </si>
  <si>
    <t>Select exactly 101 and view it through the classroom lens.</t>
  </si>
  <si>
    <t>101</t>
  </si>
  <si>
    <t>101 reads the same forwards and backwards. It is the smallest three-digit prime.</t>
  </si>
  <si>
    <t>Puzzles</t>
  </si>
  <si>
    <t>sixes</t>
  </si>
  <si>
    <t>SIXES!</t>
  </si>
  <si>
    <t>Select exactly 2 and 3.</t>
  </si>
  <si>
    <t>6 -- see note</t>
  </si>
  <si>
    <t>Every prime bigger than 3 is one away from a multiple of six. Look at the six numbers around any multiple of six: four of them are divisible by 2 or by 3, so only the two neighbours are left standing. Light up 2 and 3 and you can watch it happen -- every prime left on the board is sitting next to something lit.</t>
  </si>
  <si>
    <t>goldbach</t>
  </si>
  <si>
    <t>GOLDBACH!</t>
  </si>
  <si>
    <t>With the range set to an even number, select exactly two primes that add up to it.</t>
  </si>
  <si>
    <t>the two primes and their sum</t>
  </si>
  <si>
    <t>Every even number bigger than 2 seems to be the sum of two primes. 100 = 3 + 97. 232 = 101 + 131. Nobody has ever found an exception, and nobody has ever proved there isn't one -- it has been open since 1742. Eighteen of the even numbers you can reach here have exactly one answer.</t>
  </si>
  <si>
    <t>desert</t>
  </si>
  <si>
    <t>DESERT!</t>
  </si>
  <si>
    <t>Set the range to 907.</t>
  </si>
  <si>
    <t>888 to 906</t>
  </si>
  <si>
    <t>Between 887 and 907 there are nineteen numbers in a row and not one of them is prime -- the longest such stretch below a thousand. You can make a gap as long as you like on demand: take any n, and n!+2, n!+3, all the way to n!+n are every one of them composite, because n!+k is divisible by k.</t>
  </si>
  <si>
    <t>collatz</t>
  </si>
  <si>
    <t>COLLATZ!</t>
  </si>
  <si>
    <t>Select exactly 13 and 67.</t>
  </si>
  <si>
    <t>871</t>
  </si>
  <si>
    <t>Take any number. If it is even, halve it. If it is odd, triple it and add one. Repeat. Everything anyone has ever tried falls to 1 eventually, and nobody can prove it always will. 871 takes 178 steps to get there, the longest of anything under a thousand.</t>
  </si>
  <si>
    <t>black-hole</t>
  </si>
  <si>
    <t>BLACK HOLE!</t>
  </si>
  <si>
    <t>Select exactly 3, 5 and 11.</t>
  </si>
  <si>
    <t>495</t>
  </si>
  <si>
    <t>Take any three-digit number whose digits are not all the same. Write its digits in descending order, then in ascending order, and subtract. Repeat. All 891 of them arrive at 495 and stop. Kaprekar found it in 1949. Like most digit tricks it is a fact about writing in ten, but the shape of the idea -- a process every road leads into -- is not.</t>
  </si>
  <si>
    <t>Culture</t>
  </si>
  <si>
    <t>Meme</t>
  </si>
  <si>
    <t>nice</t>
  </si>
  <si>
    <t>NICE!</t>
  </si>
  <si>
    <t>Select exactly 3 and 23.</t>
  </si>
  <si>
    <t>69</t>
  </si>
  <si>
    <t>nice.</t>
  </si>
  <si>
    <t>dude</t>
  </si>
  <si>
    <t>DUDE!</t>
  </si>
  <si>
    <t>Select exactly 2, 3, 5 and 7.</t>
  </si>
  <si>
    <t>420</t>
  </si>
  <si>
    <t>meme</t>
  </si>
  <si>
    <t>MEME!</t>
  </si>
  <si>
    <t>Select exactly 67.</t>
  </si>
  <si>
    <t>67</t>
  </si>
  <si>
    <t>67 has no twin. Neither 65 nor 69 is prime, so it sits on its own.</t>
  </si>
  <si>
    <t>oil</t>
  </si>
  <si>
    <t>OIL!</t>
  </si>
  <si>
    <t>Select exactly 2, 5 and 71.</t>
  </si>
  <si>
    <t>710</t>
  </si>
  <si>
    <t>not-found</t>
  </si>
  <si>
    <t>NOT FOUND!</t>
  </si>
  <si>
    <t>Select exactly 2 and 101.</t>
  </si>
  <si>
    <t>404</t>
  </si>
  <si>
    <t>404 is the code a server sends when the thing you asked for is not there. It is also the area code for Atlanta.</t>
  </si>
  <si>
    <t>teapot</t>
  </si>
  <si>
    <t>TEAPOT!</t>
  </si>
  <si>
    <t>Select exactly 2, 11 and 19.</t>
  </si>
  <si>
    <t>418</t>
  </si>
  <si>
    <t>HTTP 418 is a real, published status code meaning 'I'm a teapot'. It was written as an April Fool's joke in 1998 and people have been refusing to remove it ever since.</t>
  </si>
  <si>
    <t>nixed</t>
  </si>
  <si>
    <t>NIXED!</t>
  </si>
  <si>
    <t>Select exactly 2 and 43.</t>
  </si>
  <si>
    <t>86</t>
  </si>
  <si>
    <t>catch</t>
  </si>
  <si>
    <t>CATCH!</t>
  </si>
  <si>
    <t>Select exactly 2 and 11.</t>
  </si>
  <si>
    <t>22</t>
  </si>
  <si>
    <t>route</t>
  </si>
  <si>
    <t>ROUTE!</t>
  </si>
  <si>
    <t>Select exactly 2, 3 and 11.</t>
  </si>
  <si>
    <t>66</t>
  </si>
  <si>
    <t>cards</t>
  </si>
  <si>
    <t>CARDS!</t>
  </si>
  <si>
    <t>Select exactly 3 and 7.</t>
  </si>
  <si>
    <t>21</t>
  </si>
  <si>
    <t>jackpot</t>
  </si>
  <si>
    <t>JACKPOT!</t>
  </si>
  <si>
    <t>Select exactly 3, 7 and 37.</t>
  </si>
  <si>
    <t>777</t>
  </si>
  <si>
    <t>heinz</t>
  </si>
  <si>
    <t>HEINZ!</t>
  </si>
  <si>
    <t>Select exactly 3 and 19.</t>
  </si>
  <si>
    <t>57</t>
  </si>
  <si>
    <t>57 varieties, yes. But 57 is also the Grothendieck prime: one of the greatest mathematicians of the century, asked for an example of a prime number, said 57. It is not one, and here you can watch it come apart into 3 x 19.</t>
  </si>
  <si>
    <t>slurpee</t>
  </si>
  <si>
    <t>SLURPEE!</t>
  </si>
  <si>
    <t>Select exactly 3 and 79.</t>
  </si>
  <si>
    <t>711</t>
  </si>
  <si>
    <t>sparta</t>
  </si>
  <si>
    <t>SPARTA!</t>
  </si>
  <si>
    <t>Select exactly 2, 3 and 5.</t>
  </si>
  <si>
    <t>300</t>
  </si>
  <si>
    <t>jumbo</t>
  </si>
  <si>
    <t>JUMBO!</t>
  </si>
  <si>
    <t>Select exactly 3 and 83.</t>
  </si>
  <si>
    <t>747</t>
  </si>
  <si>
    <t>bradbury</t>
  </si>
  <si>
    <t>BRADBURY!</t>
  </si>
  <si>
    <t>Select exactly 11 and 41.</t>
  </si>
  <si>
    <t>451</t>
  </si>
  <si>
    <t>The temperature at which paper catches fire, and the title of Bradbury's novel about burning books. HTTP 451 borrows it for content blocked for legal reasons.</t>
  </si>
  <si>
    <t>Lore</t>
  </si>
  <si>
    <t>beast</t>
  </si>
  <si>
    <t>BEAST!</t>
  </si>
  <si>
    <t>Select exactly 2, 3 and 37.</t>
  </si>
  <si>
    <t>666</t>
  </si>
  <si>
    <t>The number of the beast, from Revelation. It is also the sum of the squares of the first seven primes: 4 + 9 + 25 + 49 + 121 + 169 + 289 = 666. And it is 18 x 37, which is why it belongs to the same family as every other repeated-digit number.</t>
  </si>
  <si>
    <t>angel</t>
  </si>
  <si>
    <t>ANGEL!</t>
  </si>
  <si>
    <t>Select exactly 2, 3, 5, 7 and 37.</t>
  </si>
  <si>
    <t>111, 222, 333, 444, 555, 666, 777, 888, 999</t>
  </si>
  <si>
    <t>Repeated digits are read as messages in some numerology. Every one of them is a multiple of 111, and 111 is 3 x 37 -- so 37 is hiding inside all nine. The five primes you selected are exactly the ones needed to build the whole set: 5 appears only in 555, and 7 only in 777.</t>
  </si>
  <si>
    <t>lucky</t>
  </si>
  <si>
    <t>LUCKY!</t>
  </si>
  <si>
    <t>Select exactly 7.</t>
  </si>
  <si>
    <t>7</t>
  </si>
  <si>
    <t>unlucky</t>
  </si>
  <si>
    <t>UNLUCKY!</t>
  </si>
  <si>
    <t>Select exactly 13.</t>
  </si>
  <si>
    <t>13</t>
  </si>
  <si>
    <t>Fear of thirteen is common enough to have a name -- triskaidekaphobia -- and common enough that plenty of buildings label the floor above twelve as fourteen.</t>
  </si>
  <si>
    <t>enigma</t>
  </si>
  <si>
    <t>ENIGMA!</t>
  </si>
  <si>
    <t>Select exactly 23.</t>
  </si>
  <si>
    <t>23</t>
  </si>
  <si>
    <t>masonic</t>
  </si>
  <si>
    <t>MASONIC!</t>
  </si>
  <si>
    <t>Select exactly 3 and 11.</t>
  </si>
  <si>
    <t>33</t>
  </si>
  <si>
    <t>thelema</t>
  </si>
  <si>
    <t>THELEMA!</t>
  </si>
  <si>
    <t>Select exactly 3 and 31.</t>
  </si>
  <si>
    <t>93</t>
  </si>
  <si>
    <t>fishes</t>
  </si>
  <si>
    <t>FISHES!</t>
  </si>
  <si>
    <t>Select exactly 3 and 17.</t>
  </si>
  <si>
    <t>153</t>
  </si>
  <si>
    <t>153 fish in the net, in John's gospel. It is also the sum of the cubes of its own digits: 1 + 125 + 27 = 153. And it is the 17th triangular number.</t>
  </si>
  <si>
    <t>other-beast</t>
  </si>
  <si>
    <t>OTHER BEAST!</t>
  </si>
  <si>
    <t>Select exactly 2, 7 and 11.</t>
  </si>
  <si>
    <t>616</t>
  </si>
  <si>
    <t>The oldest surviving fragment of Revelation gives the number as 616, not 666. Both readings circulated in antiquity.</t>
  </si>
  <si>
    <t>central</t>
  </si>
  <si>
    <t>CENTRAL!</t>
  </si>
  <si>
    <t>Select exactly 3, 5 and 37.</t>
  </si>
  <si>
    <t>555</t>
  </si>
  <si>
    <t>North American phone numbers beginning 555 are reserved, which is why every telephone number in a film or on television starts that way.</t>
  </si>
  <si>
    <t>Geek</t>
  </si>
  <si>
    <t>trek</t>
  </si>
  <si>
    <t>1701!</t>
  </si>
  <si>
    <t>Select exactly 47.</t>
  </si>
  <si>
    <t>47</t>
  </si>
  <si>
    <t>A writer on Star Trek had been at a college with a running joke that 47 turns up more often than chance allows. He started putting it in scripts, and it never left.</t>
  </si>
  <si>
    <t>localhost</t>
  </si>
  <si>
    <t>LOCALHOST!</t>
  </si>
  <si>
    <t>Select exactly 127, with the range set to 127.</t>
  </si>
  <si>
    <t>127</t>
  </si>
  <si>
    <t>127 is the biggest number a computer can hold in one byte if it also needs room for a minus sign. It is also the address a computer uses to talk to itself.</t>
  </si>
  <si>
    <t>rawr</t>
  </si>
  <si>
    <t>RAWR!</t>
  </si>
  <si>
    <t>Select exactly 17.</t>
  </si>
  <si>
    <t>17</t>
  </si>
  <si>
    <t>Ask people to pick a random number from 1 to 20 and more of them say 17 than anything else. Ask for 1 to 100 and they say 37.</t>
  </si>
  <si>
    <t>best</t>
  </si>
  <si>
    <t>BEST!</t>
  </si>
  <si>
    <t>Select exactly 37 and 73.</t>
  </si>
  <si>
    <t>37, 73</t>
  </si>
  <si>
    <t>73 is the 21st prime. 21 is 7 times 3. Flip 73 around and you get 37, which is the 12th prime -- and 12 is 21 flipped around.</t>
  </si>
  <si>
    <t>concert-a</t>
  </si>
  <si>
    <t>CONCERT A!</t>
  </si>
  <si>
    <t>Select exactly 2, 5 and 11.</t>
  </si>
  <si>
    <t>440</t>
  </si>
  <si>
    <t>The A above middle C, at 440 hertz, is what an orchestra tunes to. It was only fixed by international agreement in 1955.</t>
  </si>
  <si>
    <t>lightspeed</t>
  </si>
  <si>
    <t>LIGHTSPEED!</t>
  </si>
  <si>
    <t>Select exactly 13 and 23.</t>
  </si>
  <si>
    <t>299</t>
  </si>
  <si>
    <t>Light travels 299,792,458 metres every second, and that number is exact -- since 1983 the metre has been defined by it rather than the other way round.</t>
  </si>
  <si>
    <t>memory</t>
  </si>
  <si>
    <t>MEMORY!</t>
  </si>
  <si>
    <t>Select exactly 2 and 5.</t>
  </si>
  <si>
    <t>640</t>
  </si>
  <si>
    <t>ny</t>
  </si>
  <si>
    <t>NY!</t>
  </si>
  <si>
    <t>Select exactly 2 and 53.</t>
  </si>
  <si>
    <t>212</t>
  </si>
  <si>
    <t>space-city</t>
  </si>
  <si>
    <t>SPACE CITY!</t>
  </si>
  <si>
    <t>Select exactly 23 and 31.</t>
  </si>
  <si>
    <t>713</t>
  </si>
  <si>
    <t>graceland</t>
  </si>
  <si>
    <t>GRACELAND!</t>
  </si>
  <si>
    <t>Select exactly 17 and 53.</t>
  </si>
  <si>
    <t>901</t>
  </si>
  <si>
    <t>Greeks</t>
  </si>
  <si>
    <t>phi</t>
  </si>
  <si>
    <t>PHI!</t>
  </si>
  <si>
    <t>Set the divergence angle to the golden angle.</t>
  </si>
  <si>
    <t>161</t>
  </si>
  <si>
    <t>The golden angle is what you get when you divide a full turn in the golden ratio: about 137.5 degrees. It is the angle a sunflower uses, because it is the angle least well approximated by any simple fraction -- so consecutive seeds never fall into a small number of spokes, at any scale. This whole figure is built on it. 1.618 is the golden ratio itself.</t>
  </si>
  <si>
    <t>pi</t>
  </si>
  <si>
    <t>PI!</t>
  </si>
  <si>
    <t>Set the divergence angle to 180 degrees.</t>
  </si>
  <si>
    <t>Set the divergence to half a turn and the figure collapses into two arms, because every second node lands in the same place. That is what a rational angle does, and it is exactly what the golden angle avoids.</t>
  </si>
  <si>
    <t>tau</t>
  </si>
  <si>
    <t>TAU!</t>
  </si>
  <si>
    <t>Set the divergence angle to a full turn.</t>
  </si>
  <si>
    <t>628</t>
  </si>
  <si>
    <t>Tau is two pi -- one whole turn. Set the divergence there and every node lands on top of the last one, collapsing the figure to a single spoke. Some argue tau should have been the circle constant all along, since a turn is the thing you actually measure.</t>
  </si>
  <si>
    <t>Capstone</t>
  </si>
  <si>
    <t>unity</t>
  </si>
  <si>
    <t>UNITY!</t>
  </si>
  <si>
    <t>Earn every other achievement.</t>
  </si>
  <si>
    <t>1, and the flood</t>
  </si>
  <si>
    <t>1 is not prime, and it is not built out of primes either. It is called the unit -- the thing you count with. You get it last because you have to get everything else first, and when you do, every gilded prime finally gets its line and all of its multiples.</t>
  </si>
  <si>
    <t>Pretty Number Machine - achievements v2</t>
  </si>
  <si>
    <t>Draft, 2026-08-21. Companion to docs/ACHIEVEMENTS-V2.md, which holds the design reasoning.</t>
  </si>
  <si>
    <t>Count</t>
  </si>
  <si>
    <t>XP each</t>
  </si>
  <si>
    <t>XP total</t>
  </si>
  <si>
    <t>TOTAL</t>
  </si>
  <si>
    <t>Play Games XP cap</t>
  </si>
  <si>
    <t>Held in reserve</t>
  </si>
  <si>
    <t>NOTES</t>
  </si>
  <si>
    <t>XP is 20 per achievement, in blue where it is an input. The cap of 2000 is Play's, across all achievements combined.</t>
  </si>
  <si>
    <t>Reserve matters: achievements can be added after publication but effectively never removed, so spending the whole budget is the one mistake that cannot be corrected later.</t>
  </si>
  <si>
    <t>UNVERIFIED: whether Play Console constrains individual XP to particular increments or a per-achievement maximum. Check before this hardens.</t>
  </si>
  <si>
    <t>Criteria is the Play Console description and is PUBLIC in the Play Games app. It is a separate string from the in-app clue, which stays cryptic.</t>
  </si>
  <si>
    <t>Clue is what a locked row shows. Tapping a locked row previews its gild set on the figure - the two are independent routes to the same answer.</t>
  </si>
  <si>
    <t>Blurb is shown only once earned. Blank means none is needed.</t>
  </si>
  <si>
    <t>OPEN: SIXES! gilds 6 alone here. Gilding every multiple of 6 would be 166 nodes, more than SEXY! at 120, which is currently the largest set in the design.</t>
  </si>
  <si>
    <t>OPEN: GOLDBACH!'s exact predicate - whether the range must equal the sum or merely be even.</t>
  </si>
  <si>
    <t>OPEN: STUBBORN! (196, the Lychrel candidate) as a sixth puzzle.</t>
  </si>
  <si>
    <t>ORBS!</t>
  </si>
  <si>
    <t>Clue (in_app hint)</t>
  </si>
  <si>
    <t>_switch it on_</t>
  </si>
  <si>
    <t>_show the ones in between_</t>
  </si>
  <si>
    <t>_pe_RAS_te_kee_</t>
  </si>
  <si>
    <t>_change how it looks, not what it is_</t>
  </si>
  <si>
    <t>_push the slider all the way_</t>
  </si>
  <si>
    <t>_the slider was lying_</t>
  </si>
  <si>
    <t>_faster, all the way_</t>
  </si>
  <si>
    <t>_wait for the bottom_</t>
  </si>
  <si>
    <t>_there is a button for this_</t>
  </si>
  <si>
    <t>_drag the classroom across_</t>
  </si>
  <si>
    <t>_take hold of the Sun_</t>
  </si>
  <si>
    <t>_make the springs disagree_</t>
  </si>
  <si>
    <t>_put out the Sun_</t>
  </si>
  <si>
    <t>_take every prime away_</t>
  </si>
  <si>
    <t>_then take away what was left_</t>
  </si>
  <si>
    <t>_how nature counts_</t>
  </si>
  <si>
    <t>_stack the coins_</t>
  </si>
  <si>
    <t>_the odd ones out_</t>
  </si>
  <si>
    <t>_n by n by n_</t>
  </si>
  <si>
    <t>_again, and again_</t>
  </si>
  <si>
    <t>_one times two times three_</t>
  </si>
  <si>
    <t>_more factors than anything smaller_</t>
  </si>
  <si>
    <t>_equal to the sum of its parts_</t>
  </si>
  <si>
    <t>_one more than all of them multiplied_</t>
  </si>
  <si>
    <t>_each is the other's sum_</t>
  </si>
  <si>
    <t>_one even number between them_</t>
  </si>
  <si>
    <t>_four apart_</t>
  </si>
  <si>
    <t>_it really is Latin_</t>
  </si>
  <si>
    <t>_double it, add one_</t>
  </si>
  <si>
    <t>_read it the other way_</t>
  </si>
  <si>
    <t>_square the digits, and again_</t>
  </si>
  <si>
    <t>_forty in a row, then it breaks_</t>
  </si>
  <si>
    <t>_one less than a power of two_</t>
  </si>
  <si>
    <t>_and together, one byte_</t>
  </si>
  <si>
    <t>_almost a straight line_</t>
  </si>
  <si>
    <t>_nothing but ones_</t>
  </si>
  <si>
    <t>_the same both ways_</t>
  </si>
  <si>
    <t>_every prime hides beside one_</t>
  </si>
  <si>
    <t>_two make an even_</t>
  </si>
  <si>
    <t>_a long walk_</t>
  </si>
  <si>
    <t>_the long way down_</t>
  </si>
  <si>
    <t>_all roads lead here_</t>
  </si>
  <si>
    <t>_nice_</t>
  </si>
  <si>
    <t>_what was I saying?_</t>
  </si>
  <si>
    <t>_kids these days_</t>
  </si>
  <si>
    <t>_upside down_</t>
  </si>
  <si>
    <t>_missing_</t>
  </si>
  <si>
    <t>_short and stout_</t>
  </si>
  <si>
    <t>_off the menu_</t>
  </si>
  <si>
    <t>_damned either way_</t>
  </si>
  <si>
    <t>_get your kicks_</t>
  </si>
  <si>
    <t>_hit me_</t>
  </si>
  <si>
    <t>_three of a kind_</t>
  </si>
  <si>
    <t>_varieties_</t>
  </si>
  <si>
    <t>_any time_</t>
  </si>
  <si>
    <t>_this is_</t>
  </si>
  <si>
    <t>_upper deck_</t>
  </si>
  <si>
    <t>_burning point_</t>
  </si>
  <si>
    <t>_number of a man_</t>
  </si>
  <si>
    <t>_a repeating message_</t>
  </si>
  <si>
    <t>_seventh heaven_</t>
  </si>
  <si>
    <t>_no thirteenth floor_</t>
  </si>
  <si>
    <t>_fnord_</t>
  </si>
  <si>
    <t>_the highest degree_</t>
  </si>
  <si>
    <t>_do what thou wilt_</t>
  </si>
  <si>
    <t>_the miraculous draught_</t>
  </si>
  <si>
    <t>_the older manuscript_</t>
  </si>
  <si>
    <t>_the number that never rings_</t>
  </si>
  <si>
    <t>_deck 47, sector 47_</t>
  </si>
  <si>
    <t>_no place like it_</t>
  </si>
  <si>
    <t>_so random_</t>
  </si>
  <si>
    <t>_the twenty_first, reflected_</t>
  </si>
  <si>
    <t>_tune up_</t>
  </si>
  <si>
    <t>_in a vacuum_</t>
  </si>
  <si>
    <t>_ought to be enough_</t>
  </si>
  <si>
    <t>_NY_</t>
  </si>
  <si>
    <t>_we have a problem_</t>
  </si>
  <si>
    <t>_the king_</t>
  </si>
  <si>
    <t>_the angle nature picks_</t>
  </si>
  <si>
    <t>_half a turn_</t>
  </si>
  <si>
    <t>_the whole turn_</t>
  </si>
  <si>
    <t>_everything else, first_</t>
  </si>
  <si>
    <t>_so big_</t>
  </si>
  <si>
    <t>Wow, they're huge!</t>
  </si>
  <si>
    <t>Art cannot be explained, it must be EXPERIENCED!</t>
  </si>
  <si>
    <t xml:space="preserve">Oof, you okay? Sun hot. </t>
  </si>
  <si>
    <t xml:space="preserve">Physics allows for stuff to get weird. </t>
  </si>
  <si>
    <t>Congratulations, you've unlocked the Achievements! As a reward, your trophy room view has a gilded 2. So shiny! So rewarding! How many more numbers can you gild? Only one way to find out! (In the world of Primes, 2 comes 1st.)</t>
  </si>
  <si>
    <t xml:space="preserve">You've discovered the many toggles that change the shape of the Pretty Number Machine. Nice! </t>
  </si>
  <si>
    <t>Counting by prime multiples looks cool, and visualizing them was the initial motivation for Pretty Number Machine. Now you get to see them at the touch of a button. This is the texture of the numberline implicit in the concept of quantity. You're unlocking the arcane mysteries of the universe on a phone app! The future is wild!</t>
  </si>
  <si>
    <t>So many!</t>
  </si>
  <si>
    <t xml:space="preserve">Okay let's not break your phone. </t>
  </si>
  <si>
    <t>Boingyboingyboingy! 6 looks kinda like a spring, right?</t>
  </si>
  <si>
    <t xml:space="preserve">Far out dude, look at all the colors! You know, like, sunflowers are like a lotus if you really think about it man. Anyway, are you big into music? </t>
  </si>
  <si>
    <t>Knowing the name of a thing may not tell you much about its intrinsic nature, but precise jargon sure helps in conversation!</t>
  </si>
  <si>
    <t>Uhh, who turned out the lights?</t>
  </si>
  <si>
    <t>_fibonacci, but different_</t>
  </si>
  <si>
    <t>D notes</t>
  </si>
  <si>
    <t xml:space="preserve">hint improve? </t>
  </si>
  <si>
    <t>add blurb</t>
  </si>
  <si>
    <t xml:space="preserve">the various set-range-to as inputs doesn't make sense for unlocking a series. These need to change or go away. Also, the app is for developing intuition and having fun, not feeling behind if you don't already know something. Perhaps all these named ones should go away as they aren't based on the joy of discovery, but the application of external knowledge. </t>
  </si>
  <si>
    <t xml:space="preserve">See, this is fun because it let's the user arrive at something neat without having to come in with outside knowledge. It's a learning opportunity and it is figure-out-able from the clue.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</si>
</sst>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Arial"/>
    </font>
    <font>
      <sz val="10"/>
      <name val="Arial"/>
    </font>
    <font>
      <b/>
      <sz val="10"/>
      <name val="Arial"/>
    </font>
    <font>
      <b/>
      <sz val="14"/>
      <name val="Arial"/>
    </font>
    <font>
      <i/>
      <sz val="10"/>
      <name val="Arial"/>
    </font>
    <font>
      <sz val="10"/>
      <color rgb="FF0000FF"/>
      <name val="Arial"/>
    </font>
  </fonts>
  <fills count="7">
    <fill>
      <patternFill patternType="none"/>
    </fill>
    <fill>
      <patternFill patternType="gray125"/>
    </fill>
    <fill>
      <patternFill patternType="solid">
        <fgColor rgb="FF1F3864"/>
      </patternFill>
    </fill>
    <fill>
      <patternFill patternType="solid">
        <fgColor rgb="FFE8F1DE"/>
      </patternFill>
    </fill>
    <fill>
      <patternFill patternType="solid">
        <fgColor rgb="FFDEEAF6"/>
      </patternFill>
    </fill>
    <fill>
      <patternFill patternType="solid">
        <fgColor rgb="FFFDE9D9"/>
      </patternFill>
    </fill>
    <fill>
      <patternFill patternType="solid">
        <fgColor rgb="FFF2E1F5"/>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xf>
    <xf numFmtId="0" fontId="2" fillId="0" borderId="1" xfId="0" applyFont="1" applyBorder="1" applyAlignment="1">
      <alignment horizontal="center" vertical="top"/>
    </xf>
    <xf numFmtId="0" fontId="2" fillId="0" borderId="1" xfId="0" applyFont="1" applyBorder="1" applyAlignment="1">
      <alignment horizontal="left" vertical="top"/>
    </xf>
    <xf numFmtId="0" fontId="3" fillId="0" borderId="1" xfId="0" applyFont="1" applyBorder="1" applyAlignment="1">
      <alignment horizontal="left" vertical="top"/>
    </xf>
    <xf numFmtId="0" fontId="2" fillId="0" borderId="1" xfId="0" applyFont="1" applyBorder="1" applyAlignment="1">
      <alignment horizontal="left" vertical="top" wrapText="1"/>
    </xf>
    <xf numFmtId="0" fontId="2" fillId="4" borderId="1" xfId="0" applyFont="1" applyFill="1" applyBorder="1" applyAlignment="1">
      <alignment horizontal="left" vertical="top"/>
    </xf>
    <xf numFmtId="0" fontId="2" fillId="5" borderId="1" xfId="0" applyFont="1" applyFill="1" applyBorder="1" applyAlignment="1">
      <alignment horizontal="left" vertical="top"/>
    </xf>
    <xf numFmtId="0" fontId="2" fillId="6" borderId="1" xfId="0" applyFont="1" applyFill="1" applyBorder="1" applyAlignment="1">
      <alignment horizontal="left" vertical="top"/>
    </xf>
    <xf numFmtId="0" fontId="4" fillId="0" borderId="0" xfId="0" applyFont="1"/>
    <xf numFmtId="0" fontId="5" fillId="0" borderId="0" xfId="0" applyFont="1"/>
    <xf numFmtId="0" fontId="1" fillId="2" borderId="1" xfId="0" applyFont="1" applyFill="1" applyBorder="1" applyAlignment="1">
      <alignment horizontal="center"/>
    </xf>
    <xf numFmtId="0" fontId="2" fillId="0" borderId="1" xfId="0" applyFont="1" applyBorder="1"/>
    <xf numFmtId="0" fontId="3" fillId="0" borderId="1" xfId="0" applyFont="1" applyBorder="1"/>
    <xf numFmtId="0" fontId="0" fillId="0" borderId="1" xfId="0" applyBorder="1"/>
    <xf numFmtId="0" fontId="2" fillId="0" borderId="0" xfId="0" applyFont="1"/>
    <xf numFmtId="0" fontId="6" fillId="0" borderId="0" xfId="0" applyFont="1"/>
    <xf numFmtId="0" fontId="3" fillId="0" borderId="0" xfId="0" applyFont="1"/>
    <xf numFmtId="0" fontId="1"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5"/>
  <sheetViews>
    <sheetView tabSelected="1" workbookViewId="0">
      <pane xSplit="4" ySplit="1" topLeftCell="E37" activePane="bottomRight" state="frozen"/>
      <selection pane="topRight"/>
      <selection pane="bottomLeft"/>
      <selection pane="bottomRight" activeCell="M42" sqref="M42"/>
    </sheetView>
  </sheetViews>
  <sheetFormatPr defaultRowHeight="15" x14ac:dyDescent="0.25"/>
  <cols>
    <col min="1" max="2" width="10" customWidth="1"/>
    <col min="3" max="3" width="7" customWidth="1"/>
    <col min="4" max="4" width="13" customWidth="1"/>
    <col min="5" max="5" width="15" customWidth="1"/>
    <col min="6" max="6" width="30" customWidth="1"/>
    <col min="7" max="7" width="42" customWidth="1"/>
    <col min="8" max="8" width="26" customWidth="1"/>
    <col min="9" max="9" width="8" customWidth="1"/>
    <col min="10" max="10" width="78" customWidth="1"/>
    <col min="11" max="11" width="10" customWidth="1"/>
    <col min="12" max="12" width="6" customWidth="1"/>
  </cols>
  <sheetData>
    <row r="1" spans="1:13" ht="33.950000000000003" customHeight="1" x14ac:dyDescent="0.25">
      <c r="A1" s="1" t="s">
        <v>0</v>
      </c>
      <c r="B1" s="1" t="s">
        <v>1</v>
      </c>
      <c r="C1" s="1" t="s">
        <v>2</v>
      </c>
      <c r="D1" s="1" t="s">
        <v>3</v>
      </c>
      <c r="E1" s="1" t="s">
        <v>4</v>
      </c>
      <c r="F1" s="1" t="s">
        <v>427</v>
      </c>
      <c r="G1" s="1" t="s">
        <v>5</v>
      </c>
      <c r="H1" s="1" t="s">
        <v>6</v>
      </c>
      <c r="I1" s="1" t="s">
        <v>7</v>
      </c>
      <c r="J1" s="1" t="s">
        <v>8</v>
      </c>
      <c r="K1" s="1" t="s">
        <v>9</v>
      </c>
      <c r="L1" s="1" t="s">
        <v>10</v>
      </c>
      <c r="M1" s="19" t="s">
        <v>525</v>
      </c>
    </row>
    <row r="2" spans="1:13" ht="38.25" x14ac:dyDescent="0.25">
      <c r="A2" s="2" t="s">
        <v>11</v>
      </c>
      <c r="B2" s="2" t="s">
        <v>11</v>
      </c>
      <c r="C2" s="3">
        <v>1</v>
      </c>
      <c r="D2" s="4" t="s">
        <v>12</v>
      </c>
      <c r="E2" s="5" t="s">
        <v>13</v>
      </c>
      <c r="F2" s="6" t="s">
        <v>428</v>
      </c>
      <c r="G2" s="6" t="s">
        <v>14</v>
      </c>
      <c r="H2" s="6" t="s">
        <v>15</v>
      </c>
      <c r="I2" s="3">
        <v>1</v>
      </c>
      <c r="J2" s="6" t="s">
        <v>515</v>
      </c>
      <c r="K2" s="4" t="s">
        <v>16</v>
      </c>
      <c r="L2" s="3">
        <v>20</v>
      </c>
    </row>
    <row r="3" spans="1:13" ht="25.5" x14ac:dyDescent="0.25">
      <c r="A3" s="2" t="s">
        <v>11</v>
      </c>
      <c r="B3" s="2" t="s">
        <v>11</v>
      </c>
      <c r="C3" s="3">
        <v>2</v>
      </c>
      <c r="D3" s="4" t="s">
        <v>17</v>
      </c>
      <c r="E3" s="5" t="s">
        <v>18</v>
      </c>
      <c r="F3" s="6" t="s">
        <v>429</v>
      </c>
      <c r="G3" s="6" t="s">
        <v>19</v>
      </c>
      <c r="H3" s="6" t="s">
        <v>20</v>
      </c>
      <c r="I3" s="3">
        <v>1</v>
      </c>
      <c r="J3" s="6" t="s">
        <v>516</v>
      </c>
      <c r="K3" s="4" t="s">
        <v>16</v>
      </c>
      <c r="L3" s="3">
        <v>20</v>
      </c>
    </row>
    <row r="4" spans="1:13" ht="51" x14ac:dyDescent="0.25">
      <c r="A4" s="2" t="s">
        <v>11</v>
      </c>
      <c r="B4" s="2" t="s">
        <v>11</v>
      </c>
      <c r="C4" s="3">
        <v>3</v>
      </c>
      <c r="D4" s="4" t="s">
        <v>21</v>
      </c>
      <c r="E4" s="5" t="s">
        <v>22</v>
      </c>
      <c r="F4" s="6" t="s">
        <v>430</v>
      </c>
      <c r="G4" s="6" t="s">
        <v>23</v>
      </c>
      <c r="H4" s="6" t="s">
        <v>24</v>
      </c>
      <c r="I4" s="3">
        <v>1</v>
      </c>
      <c r="J4" s="6" t="s">
        <v>517</v>
      </c>
      <c r="K4" s="4" t="s">
        <v>16</v>
      </c>
      <c r="L4" s="3">
        <v>20</v>
      </c>
    </row>
    <row r="5" spans="1:13" ht="25.5" x14ac:dyDescent="0.25">
      <c r="A5" s="2" t="s">
        <v>11</v>
      </c>
      <c r="B5" s="2" t="s">
        <v>11</v>
      </c>
      <c r="C5" s="3">
        <v>4</v>
      </c>
      <c r="D5" s="4" t="s">
        <v>25</v>
      </c>
      <c r="E5" s="5" t="s">
        <v>26</v>
      </c>
      <c r="F5" s="6" t="s">
        <v>431</v>
      </c>
      <c r="G5" s="6" t="s">
        <v>27</v>
      </c>
      <c r="H5" s="6" t="s">
        <v>28</v>
      </c>
      <c r="I5" s="3">
        <v>1</v>
      </c>
      <c r="J5" s="6" t="s">
        <v>512</v>
      </c>
      <c r="K5" s="4" t="s">
        <v>16</v>
      </c>
      <c r="L5" s="3">
        <v>20</v>
      </c>
    </row>
    <row r="6" spans="1:13" x14ac:dyDescent="0.25">
      <c r="A6" s="2" t="s">
        <v>11</v>
      </c>
      <c r="B6" s="2" t="s">
        <v>11</v>
      </c>
      <c r="C6" s="3">
        <v>5</v>
      </c>
      <c r="D6" s="4" t="s">
        <v>29</v>
      </c>
      <c r="E6" s="5" t="s">
        <v>426</v>
      </c>
      <c r="F6" s="6" t="s">
        <v>510</v>
      </c>
      <c r="G6" s="6" t="s">
        <v>30</v>
      </c>
      <c r="H6" s="6">
        <v>8</v>
      </c>
      <c r="I6" s="3">
        <v>1</v>
      </c>
      <c r="J6" s="6" t="s">
        <v>511</v>
      </c>
      <c r="K6" s="4" t="s">
        <v>16</v>
      </c>
      <c r="L6" s="3">
        <v>20</v>
      </c>
    </row>
    <row r="7" spans="1:13" x14ac:dyDescent="0.25">
      <c r="A7" s="2" t="s">
        <v>11</v>
      </c>
      <c r="B7" s="2" t="s">
        <v>11</v>
      </c>
      <c r="C7" s="3">
        <v>6</v>
      </c>
      <c r="D7" s="4" t="s">
        <v>31</v>
      </c>
      <c r="E7" s="5" t="s">
        <v>32</v>
      </c>
      <c r="F7" s="6" t="s">
        <v>432</v>
      </c>
      <c r="G7" s="6" t="s">
        <v>33</v>
      </c>
      <c r="H7" s="6" t="s">
        <v>34</v>
      </c>
      <c r="I7" s="3">
        <v>1</v>
      </c>
      <c r="J7" s="6" t="s">
        <v>518</v>
      </c>
      <c r="K7" s="4" t="s">
        <v>16</v>
      </c>
      <c r="L7" s="3">
        <v>20</v>
      </c>
    </row>
    <row r="8" spans="1:13" x14ac:dyDescent="0.25">
      <c r="A8" s="2" t="s">
        <v>11</v>
      </c>
      <c r="B8" s="2" t="s">
        <v>11</v>
      </c>
      <c r="C8" s="3">
        <v>7</v>
      </c>
      <c r="D8" s="4" t="s">
        <v>35</v>
      </c>
      <c r="E8" s="5" t="s">
        <v>36</v>
      </c>
      <c r="F8" s="6" t="s">
        <v>433</v>
      </c>
      <c r="G8" s="6" t="s">
        <v>37</v>
      </c>
      <c r="H8" s="6" t="s">
        <v>38</v>
      </c>
      <c r="I8" s="3">
        <v>1</v>
      </c>
      <c r="J8" s="6" t="s">
        <v>519</v>
      </c>
      <c r="K8" s="4" t="s">
        <v>16</v>
      </c>
      <c r="L8" s="3">
        <v>20</v>
      </c>
    </row>
    <row r="9" spans="1:13" x14ac:dyDescent="0.25">
      <c r="A9" s="2" t="s">
        <v>11</v>
      </c>
      <c r="B9" s="2" t="s">
        <v>11</v>
      </c>
      <c r="C9" s="3">
        <v>8</v>
      </c>
      <c r="D9" s="4" t="s">
        <v>39</v>
      </c>
      <c r="E9" s="5" t="s">
        <v>40</v>
      </c>
      <c r="F9" s="6" t="s">
        <v>434</v>
      </c>
      <c r="G9" s="6" t="s">
        <v>41</v>
      </c>
      <c r="H9" s="6" t="s">
        <v>42</v>
      </c>
      <c r="I9" s="3">
        <v>2</v>
      </c>
      <c r="J9" s="6" t="s">
        <v>43</v>
      </c>
      <c r="K9" s="4" t="s">
        <v>16</v>
      </c>
      <c r="L9" s="3">
        <v>20</v>
      </c>
    </row>
    <row r="10" spans="1:13" x14ac:dyDescent="0.25">
      <c r="A10" s="2" t="s">
        <v>11</v>
      </c>
      <c r="B10" s="2" t="s">
        <v>11</v>
      </c>
      <c r="C10" s="3">
        <v>9</v>
      </c>
      <c r="D10" s="4" t="s">
        <v>44</v>
      </c>
      <c r="E10" s="5" t="s">
        <v>45</v>
      </c>
      <c r="F10" s="6" t="s">
        <v>435</v>
      </c>
      <c r="G10" s="6" t="s">
        <v>46</v>
      </c>
      <c r="H10" s="6">
        <v>6</v>
      </c>
      <c r="I10" s="3">
        <v>1</v>
      </c>
      <c r="J10" s="6" t="s">
        <v>520</v>
      </c>
      <c r="K10" s="4" t="s">
        <v>16</v>
      </c>
      <c r="L10" s="3">
        <v>20</v>
      </c>
    </row>
    <row r="11" spans="1:13" ht="25.5" x14ac:dyDescent="0.25">
      <c r="A11" s="2" t="s">
        <v>11</v>
      </c>
      <c r="B11" s="2" t="s">
        <v>11</v>
      </c>
      <c r="C11" s="3">
        <v>10</v>
      </c>
      <c r="D11" s="4" t="s">
        <v>48</v>
      </c>
      <c r="E11" s="5" t="s">
        <v>49</v>
      </c>
      <c r="F11" s="6" t="s">
        <v>436</v>
      </c>
      <c r="G11" s="6" t="s">
        <v>50</v>
      </c>
      <c r="H11" s="6">
        <v>815</v>
      </c>
      <c r="I11" s="3">
        <v>1</v>
      </c>
      <c r="J11" s="6" t="s">
        <v>521</v>
      </c>
      <c r="K11" s="4" t="s">
        <v>16</v>
      </c>
      <c r="L11" s="3">
        <v>20</v>
      </c>
    </row>
    <row r="12" spans="1:13" ht="25.5" x14ac:dyDescent="0.25">
      <c r="A12" s="2" t="s">
        <v>11</v>
      </c>
      <c r="B12" s="2" t="s">
        <v>11</v>
      </c>
      <c r="C12" s="3">
        <v>11</v>
      </c>
      <c r="D12" s="4" t="s">
        <v>51</v>
      </c>
      <c r="E12" s="5" t="s">
        <v>52</v>
      </c>
      <c r="F12" s="6" t="s">
        <v>437</v>
      </c>
      <c r="G12" s="6" t="s">
        <v>53</v>
      </c>
      <c r="H12" s="6" t="s">
        <v>54</v>
      </c>
      <c r="I12" s="3">
        <v>1</v>
      </c>
      <c r="J12" s="6" t="s">
        <v>522</v>
      </c>
      <c r="K12" s="4" t="s">
        <v>16</v>
      </c>
      <c r="L12" s="3">
        <v>20</v>
      </c>
    </row>
    <row r="13" spans="1:13" x14ac:dyDescent="0.25">
      <c r="A13" s="2" t="s">
        <v>11</v>
      </c>
      <c r="B13" s="2" t="s">
        <v>11</v>
      </c>
      <c r="C13" s="3">
        <v>12</v>
      </c>
      <c r="D13" s="4" t="s">
        <v>55</v>
      </c>
      <c r="E13" s="5" t="s">
        <v>56</v>
      </c>
      <c r="F13" s="6" t="s">
        <v>438</v>
      </c>
      <c r="G13" s="6" t="s">
        <v>57</v>
      </c>
      <c r="H13" s="6" t="s">
        <v>58</v>
      </c>
      <c r="I13" s="3">
        <v>1</v>
      </c>
      <c r="J13" s="6" t="s">
        <v>513</v>
      </c>
      <c r="K13" s="4" t="s">
        <v>16</v>
      </c>
      <c r="L13" s="3">
        <v>20</v>
      </c>
    </row>
    <row r="14" spans="1:13" ht="25.5" x14ac:dyDescent="0.25">
      <c r="A14" s="2" t="s">
        <v>11</v>
      </c>
      <c r="B14" s="2" t="s">
        <v>11</v>
      </c>
      <c r="C14" s="3">
        <v>13</v>
      </c>
      <c r="D14" s="4" t="s">
        <v>59</v>
      </c>
      <c r="E14" s="5" t="s">
        <v>60</v>
      </c>
      <c r="F14" s="6" t="s">
        <v>439</v>
      </c>
      <c r="G14" s="6" t="s">
        <v>61</v>
      </c>
      <c r="H14" s="6" t="s">
        <v>62</v>
      </c>
      <c r="I14" s="3">
        <v>1</v>
      </c>
      <c r="J14" s="6" t="s">
        <v>514</v>
      </c>
      <c r="K14" s="4" t="s">
        <v>16</v>
      </c>
      <c r="L14" s="3">
        <v>20</v>
      </c>
    </row>
    <row r="15" spans="1:13" x14ac:dyDescent="0.25">
      <c r="A15" s="2" t="s">
        <v>11</v>
      </c>
      <c r="B15" s="2" t="s">
        <v>11</v>
      </c>
      <c r="C15" s="3">
        <v>14</v>
      </c>
      <c r="D15" s="4" t="s">
        <v>63</v>
      </c>
      <c r="E15" s="5" t="s">
        <v>64</v>
      </c>
      <c r="F15" s="6" t="s">
        <v>440</v>
      </c>
      <c r="G15" s="6" t="s">
        <v>65</v>
      </c>
      <c r="H15" s="6" t="s">
        <v>66</v>
      </c>
      <c r="I15" s="3">
        <v>1</v>
      </c>
      <c r="J15" s="6" t="s">
        <v>523</v>
      </c>
      <c r="K15" s="4" t="s">
        <v>16</v>
      </c>
      <c r="L15" s="3">
        <v>20</v>
      </c>
    </row>
    <row r="16" spans="1:13" ht="25.5" x14ac:dyDescent="0.25">
      <c r="A16" s="2" t="s">
        <v>11</v>
      </c>
      <c r="B16" s="2" t="s">
        <v>11</v>
      </c>
      <c r="C16" s="3">
        <v>15</v>
      </c>
      <c r="D16" s="4" t="s">
        <v>67</v>
      </c>
      <c r="E16" s="5" t="s">
        <v>68</v>
      </c>
      <c r="F16" s="6" t="s">
        <v>441</v>
      </c>
      <c r="G16" s="6" t="s">
        <v>69</v>
      </c>
      <c r="H16" s="6" t="s">
        <v>70</v>
      </c>
      <c r="I16" s="3">
        <v>0</v>
      </c>
      <c r="J16" s="6" t="s">
        <v>71</v>
      </c>
      <c r="K16" s="4" t="s">
        <v>16</v>
      </c>
      <c r="L16" s="3">
        <v>20</v>
      </c>
    </row>
    <row r="17" spans="1:13" ht="25.5" x14ac:dyDescent="0.25">
      <c r="A17" s="2" t="s">
        <v>11</v>
      </c>
      <c r="B17" s="2" t="s">
        <v>11</v>
      </c>
      <c r="C17" s="3">
        <v>16</v>
      </c>
      <c r="D17" s="4" t="s">
        <v>72</v>
      </c>
      <c r="E17" s="5" t="s">
        <v>73</v>
      </c>
      <c r="F17" s="6" t="s">
        <v>442</v>
      </c>
      <c r="G17" s="6" t="s">
        <v>74</v>
      </c>
      <c r="H17" s="6">
        <v>86</v>
      </c>
      <c r="I17" s="3">
        <v>1</v>
      </c>
      <c r="J17" s="6" t="s">
        <v>75</v>
      </c>
      <c r="K17" s="4" t="s">
        <v>16</v>
      </c>
      <c r="L17" s="3">
        <v>20</v>
      </c>
    </row>
    <row r="18" spans="1:13" ht="25.5" x14ac:dyDescent="0.25">
      <c r="A18" s="7" t="s">
        <v>76</v>
      </c>
      <c r="B18" s="7" t="s">
        <v>77</v>
      </c>
      <c r="C18" s="3"/>
      <c r="D18" s="4" t="s">
        <v>78</v>
      </c>
      <c r="E18" s="5" t="s">
        <v>79</v>
      </c>
      <c r="F18" s="6" t="s">
        <v>443</v>
      </c>
      <c r="G18" s="6" t="s">
        <v>80</v>
      </c>
      <c r="H18" s="6" t="s">
        <v>81</v>
      </c>
      <c r="I18" s="3">
        <v>14</v>
      </c>
      <c r="J18" s="6" t="s">
        <v>82</v>
      </c>
      <c r="K18" s="4" t="s">
        <v>16</v>
      </c>
      <c r="L18" s="3">
        <v>20</v>
      </c>
    </row>
    <row r="19" spans="1:13" ht="38.25" x14ac:dyDescent="0.25">
      <c r="A19" s="7" t="s">
        <v>76</v>
      </c>
      <c r="B19" s="7" t="s">
        <v>77</v>
      </c>
      <c r="C19" s="3"/>
      <c r="D19" s="4" t="s">
        <v>83</v>
      </c>
      <c r="E19" s="5" t="s">
        <v>84</v>
      </c>
      <c r="F19" s="6" t="s">
        <v>524</v>
      </c>
      <c r="G19" s="6" t="s">
        <v>85</v>
      </c>
      <c r="H19" s="6" t="s">
        <v>86</v>
      </c>
      <c r="I19" s="3">
        <v>14</v>
      </c>
      <c r="J19" s="6" t="s">
        <v>87</v>
      </c>
      <c r="K19" s="4" t="s">
        <v>16</v>
      </c>
      <c r="L19" s="3">
        <v>20</v>
      </c>
    </row>
    <row r="20" spans="1:13" ht="25.5" x14ac:dyDescent="0.25">
      <c r="A20" s="7" t="s">
        <v>76</v>
      </c>
      <c r="B20" s="7" t="s">
        <v>77</v>
      </c>
      <c r="C20" s="3"/>
      <c r="D20" s="4" t="s">
        <v>88</v>
      </c>
      <c r="E20" s="5" t="s">
        <v>89</v>
      </c>
      <c r="F20" s="6" t="s">
        <v>444</v>
      </c>
      <c r="G20" s="6" t="s">
        <v>90</v>
      </c>
      <c r="H20" s="6" t="s">
        <v>91</v>
      </c>
      <c r="I20" s="3">
        <v>43</v>
      </c>
      <c r="J20" s="6" t="s">
        <v>92</v>
      </c>
      <c r="K20" s="4" t="s">
        <v>93</v>
      </c>
      <c r="L20" s="3">
        <v>20</v>
      </c>
    </row>
    <row r="21" spans="1:13" ht="51" x14ac:dyDescent="0.25">
      <c r="A21" s="7" t="s">
        <v>76</v>
      </c>
      <c r="B21" s="7" t="s">
        <v>77</v>
      </c>
      <c r="C21" s="3"/>
      <c r="D21" s="4" t="s">
        <v>94</v>
      </c>
      <c r="E21" s="5" t="s">
        <v>95</v>
      </c>
      <c r="F21" s="6" t="s">
        <v>445</v>
      </c>
      <c r="G21" s="6" t="s">
        <v>96</v>
      </c>
      <c r="H21" s="6" t="s">
        <v>97</v>
      </c>
      <c r="I21" s="3">
        <v>30</v>
      </c>
      <c r="J21" s="6" t="s">
        <v>98</v>
      </c>
      <c r="K21" s="4" t="s">
        <v>99</v>
      </c>
      <c r="L21" s="3">
        <v>20</v>
      </c>
      <c r="M21" t="s">
        <v>526</v>
      </c>
    </row>
    <row r="22" spans="1:13" ht="25.5" x14ac:dyDescent="0.25">
      <c r="A22" s="7" t="s">
        <v>76</v>
      </c>
      <c r="B22" s="7" t="s">
        <v>77</v>
      </c>
      <c r="C22" s="3"/>
      <c r="D22" s="4" t="s">
        <v>100</v>
      </c>
      <c r="E22" s="5" t="s">
        <v>101</v>
      </c>
      <c r="F22" s="6" t="s">
        <v>446</v>
      </c>
      <c r="G22" s="6" t="s">
        <v>102</v>
      </c>
      <c r="H22" s="6" t="s">
        <v>103</v>
      </c>
      <c r="I22" s="3">
        <v>9</v>
      </c>
      <c r="J22" s="6"/>
      <c r="K22" s="4" t="s">
        <v>93</v>
      </c>
      <c r="L22" s="3">
        <v>20</v>
      </c>
      <c r="M22" t="s">
        <v>527</v>
      </c>
    </row>
    <row r="23" spans="1:13" ht="38.25" x14ac:dyDescent="0.25">
      <c r="A23" s="7" t="s">
        <v>76</v>
      </c>
      <c r="B23" s="7" t="s">
        <v>77</v>
      </c>
      <c r="C23" s="3"/>
      <c r="D23" s="4" t="s">
        <v>104</v>
      </c>
      <c r="E23" s="5" t="s">
        <v>105</v>
      </c>
      <c r="F23" s="6" t="s">
        <v>447</v>
      </c>
      <c r="G23" s="6" t="s">
        <v>106</v>
      </c>
      <c r="H23" s="6" t="s">
        <v>107</v>
      </c>
      <c r="I23" s="3">
        <v>9</v>
      </c>
      <c r="J23" s="6" t="s">
        <v>108</v>
      </c>
      <c r="K23" s="4" t="s">
        <v>93</v>
      </c>
      <c r="L23" s="3">
        <v>20</v>
      </c>
    </row>
    <row r="24" spans="1:13" ht="25.5" x14ac:dyDescent="0.25">
      <c r="A24" s="7" t="s">
        <v>76</v>
      </c>
      <c r="B24" s="7" t="s">
        <v>77</v>
      </c>
      <c r="C24" s="3"/>
      <c r="D24" s="4" t="s">
        <v>109</v>
      </c>
      <c r="E24" s="5" t="s">
        <v>110</v>
      </c>
      <c r="F24" s="6" t="s">
        <v>448</v>
      </c>
      <c r="G24" s="6" t="s">
        <v>111</v>
      </c>
      <c r="H24" s="6" t="s">
        <v>112</v>
      </c>
      <c r="I24" s="3">
        <v>5</v>
      </c>
      <c r="J24" s="6" t="s">
        <v>113</v>
      </c>
      <c r="K24" s="4" t="s">
        <v>93</v>
      </c>
      <c r="L24" s="3">
        <v>20</v>
      </c>
      <c r="M24" t="s">
        <v>528</v>
      </c>
    </row>
    <row r="25" spans="1:13" ht="51" x14ac:dyDescent="0.25">
      <c r="A25" s="7" t="s">
        <v>76</v>
      </c>
      <c r="B25" s="7" t="s">
        <v>77</v>
      </c>
      <c r="C25" s="3"/>
      <c r="D25" s="4" t="s">
        <v>114</v>
      </c>
      <c r="E25" s="5" t="s">
        <v>115</v>
      </c>
      <c r="F25" s="6" t="s">
        <v>449</v>
      </c>
      <c r="G25" s="6" t="s">
        <v>116</v>
      </c>
      <c r="H25" s="6" t="s">
        <v>117</v>
      </c>
      <c r="I25" s="3">
        <v>14</v>
      </c>
      <c r="J25" s="6" t="s">
        <v>118</v>
      </c>
      <c r="K25" s="4" t="s">
        <v>16</v>
      </c>
      <c r="L25" s="3">
        <v>20</v>
      </c>
    </row>
    <row r="26" spans="1:13" ht="63.75" x14ac:dyDescent="0.25">
      <c r="A26" s="7" t="s">
        <v>76</v>
      </c>
      <c r="B26" s="7" t="s">
        <v>77</v>
      </c>
      <c r="C26" s="3"/>
      <c r="D26" s="4" t="s">
        <v>119</v>
      </c>
      <c r="E26" s="5" t="s">
        <v>120</v>
      </c>
      <c r="F26" s="6" t="s">
        <v>450</v>
      </c>
      <c r="G26" s="6" t="s">
        <v>121</v>
      </c>
      <c r="H26" s="6" t="s">
        <v>122</v>
      </c>
      <c r="I26" s="3">
        <v>7</v>
      </c>
      <c r="J26" s="6" t="s">
        <v>123</v>
      </c>
      <c r="K26" s="4" t="s">
        <v>16</v>
      </c>
      <c r="L26" s="3">
        <v>20</v>
      </c>
    </row>
    <row r="27" spans="1:13" ht="51" x14ac:dyDescent="0.25">
      <c r="A27" s="7" t="s">
        <v>76</v>
      </c>
      <c r="B27" s="7" t="s">
        <v>77</v>
      </c>
      <c r="C27" s="3"/>
      <c r="D27" s="4" t="s">
        <v>124</v>
      </c>
      <c r="E27" s="5" t="s">
        <v>125</v>
      </c>
      <c r="F27" s="6" t="s">
        <v>451</v>
      </c>
      <c r="G27" s="6" t="s">
        <v>126</v>
      </c>
      <c r="H27" s="6" t="s">
        <v>127</v>
      </c>
      <c r="I27" s="3">
        <v>2</v>
      </c>
      <c r="J27" s="6" t="s">
        <v>128</v>
      </c>
      <c r="K27" s="4" t="s">
        <v>93</v>
      </c>
      <c r="L27" s="3">
        <v>20</v>
      </c>
    </row>
    <row r="28" spans="1:13" ht="38.25" x14ac:dyDescent="0.25">
      <c r="A28" s="7" t="s">
        <v>76</v>
      </c>
      <c r="B28" s="7" t="s">
        <v>77</v>
      </c>
      <c r="C28" s="3"/>
      <c r="D28" s="4" t="s">
        <v>129</v>
      </c>
      <c r="E28" s="5" t="s">
        <v>130</v>
      </c>
      <c r="F28" s="6" t="s">
        <v>452</v>
      </c>
      <c r="G28" s="6" t="s">
        <v>131</v>
      </c>
      <c r="H28" s="6" t="s">
        <v>132</v>
      </c>
      <c r="I28" s="3">
        <v>2</v>
      </c>
      <c r="J28" s="6" t="s">
        <v>133</v>
      </c>
      <c r="K28" s="4" t="s">
        <v>93</v>
      </c>
      <c r="L28" s="3">
        <v>20</v>
      </c>
    </row>
    <row r="29" spans="1:13" ht="25.5" x14ac:dyDescent="0.25">
      <c r="A29" s="7" t="s">
        <v>76</v>
      </c>
      <c r="B29" s="7" t="s">
        <v>134</v>
      </c>
      <c r="C29" s="3"/>
      <c r="D29" s="4" t="s">
        <v>135</v>
      </c>
      <c r="E29" s="5" t="s">
        <v>136</v>
      </c>
      <c r="F29" s="6" t="s">
        <v>453</v>
      </c>
      <c r="G29" s="6" t="s">
        <v>137</v>
      </c>
      <c r="H29" s="6" t="s">
        <v>138</v>
      </c>
      <c r="I29" s="3">
        <v>69</v>
      </c>
      <c r="J29" s="6" t="s">
        <v>139</v>
      </c>
      <c r="K29" s="4" t="s">
        <v>16</v>
      </c>
      <c r="L29" s="3">
        <v>20</v>
      </c>
      <c r="M29" t="s">
        <v>529</v>
      </c>
    </row>
    <row r="30" spans="1:13" x14ac:dyDescent="0.25">
      <c r="A30" s="7" t="s">
        <v>76</v>
      </c>
      <c r="B30" s="7" t="s">
        <v>134</v>
      </c>
      <c r="C30" s="3"/>
      <c r="D30" s="4" t="s">
        <v>140</v>
      </c>
      <c r="E30" s="5" t="s">
        <v>141</v>
      </c>
      <c r="F30" s="6" t="s">
        <v>454</v>
      </c>
      <c r="G30" s="6" t="s">
        <v>142</v>
      </c>
      <c r="H30" s="6" t="s">
        <v>143</v>
      </c>
      <c r="I30" s="3">
        <v>81</v>
      </c>
      <c r="J30" s="6" t="s">
        <v>144</v>
      </c>
      <c r="K30" s="4" t="s">
        <v>16</v>
      </c>
      <c r="L30" s="3">
        <v>20</v>
      </c>
    </row>
    <row r="31" spans="1:13" ht="25.5" x14ac:dyDescent="0.25">
      <c r="A31" s="7" t="s">
        <v>76</v>
      </c>
      <c r="B31" s="7" t="s">
        <v>134</v>
      </c>
      <c r="C31" s="3"/>
      <c r="D31" s="4" t="s">
        <v>145</v>
      </c>
      <c r="E31" s="5" t="s">
        <v>146</v>
      </c>
      <c r="F31" s="6" t="s">
        <v>455</v>
      </c>
      <c r="G31" s="6" t="s">
        <v>147</v>
      </c>
      <c r="H31" s="6" t="s">
        <v>148</v>
      </c>
      <c r="I31" s="3">
        <v>120</v>
      </c>
      <c r="J31" s="6" t="s">
        <v>149</v>
      </c>
      <c r="K31" s="4" t="s">
        <v>16</v>
      </c>
      <c r="L31" s="3">
        <v>20</v>
      </c>
    </row>
    <row r="32" spans="1:13" ht="38.25" x14ac:dyDescent="0.25">
      <c r="A32" s="7" t="s">
        <v>76</v>
      </c>
      <c r="B32" s="7" t="s">
        <v>134</v>
      </c>
      <c r="C32" s="3"/>
      <c r="D32" s="4" t="s">
        <v>150</v>
      </c>
      <c r="E32" s="5" t="s">
        <v>151</v>
      </c>
      <c r="F32" s="6" t="s">
        <v>456</v>
      </c>
      <c r="G32" s="6" t="s">
        <v>152</v>
      </c>
      <c r="H32" s="6" t="s">
        <v>153</v>
      </c>
      <c r="I32" s="3">
        <v>37</v>
      </c>
      <c r="J32" s="6" t="s">
        <v>154</v>
      </c>
      <c r="K32" s="4" t="s">
        <v>16</v>
      </c>
      <c r="L32" s="3">
        <v>20</v>
      </c>
    </row>
    <row r="33" spans="1:12" ht="38.25" x14ac:dyDescent="0.25">
      <c r="A33" s="7" t="s">
        <v>76</v>
      </c>
      <c r="B33" s="7" t="s">
        <v>134</v>
      </c>
      <c r="C33" s="3"/>
      <c r="D33" s="4" t="s">
        <v>155</v>
      </c>
      <c r="E33" s="5" t="s">
        <v>156</v>
      </c>
      <c r="F33" s="6" t="s">
        <v>457</v>
      </c>
      <c r="G33" s="6" t="s">
        <v>157</v>
      </c>
      <c r="H33" s="6" t="s">
        <v>158</v>
      </c>
      <c r="I33" s="3">
        <v>36</v>
      </c>
      <c r="J33" s="6" t="s">
        <v>159</v>
      </c>
      <c r="K33" s="4" t="s">
        <v>16</v>
      </c>
      <c r="L33" s="3">
        <v>20</v>
      </c>
    </row>
    <row r="34" spans="1:12" ht="51" x14ac:dyDescent="0.25">
      <c r="A34" s="7" t="s">
        <v>76</v>
      </c>
      <c r="B34" s="7" t="s">
        <v>134</v>
      </c>
      <c r="C34" s="3"/>
      <c r="D34" s="4" t="s">
        <v>160</v>
      </c>
      <c r="E34" s="5" t="s">
        <v>161</v>
      </c>
      <c r="F34" s="6" t="s">
        <v>458</v>
      </c>
      <c r="G34" s="6" t="s">
        <v>162</v>
      </c>
      <c r="H34" s="6" t="s">
        <v>163</v>
      </c>
      <c r="I34" s="3">
        <v>35</v>
      </c>
      <c r="J34" s="6" t="s">
        <v>164</v>
      </c>
      <c r="K34" s="4" t="s">
        <v>16</v>
      </c>
      <c r="L34" s="3">
        <v>20</v>
      </c>
    </row>
    <row r="35" spans="1:12" ht="38.25" x14ac:dyDescent="0.25">
      <c r="A35" s="7" t="s">
        <v>76</v>
      </c>
      <c r="B35" s="7" t="s">
        <v>134</v>
      </c>
      <c r="C35" s="3"/>
      <c r="D35" s="4" t="s">
        <v>165</v>
      </c>
      <c r="E35" s="5" t="s">
        <v>166</v>
      </c>
      <c r="F35" s="6" t="s">
        <v>459</v>
      </c>
      <c r="G35" s="6" t="s">
        <v>167</v>
      </c>
      <c r="H35" s="6" t="s">
        <v>168</v>
      </c>
      <c r="I35" s="3">
        <v>31</v>
      </c>
      <c r="J35" s="6" t="s">
        <v>169</v>
      </c>
      <c r="K35" s="4" t="s">
        <v>16</v>
      </c>
      <c r="L35" s="3">
        <v>20</v>
      </c>
    </row>
    <row r="36" spans="1:12" ht="51" x14ac:dyDescent="0.25">
      <c r="A36" s="7" t="s">
        <v>76</v>
      </c>
      <c r="B36" s="7" t="s">
        <v>134</v>
      </c>
      <c r="C36" s="3"/>
      <c r="D36" s="4" t="s">
        <v>170</v>
      </c>
      <c r="E36" s="5" t="s">
        <v>171</v>
      </c>
      <c r="F36" s="6" t="s">
        <v>460</v>
      </c>
      <c r="G36" s="6" t="s">
        <v>172</v>
      </c>
      <c r="H36" s="6" t="s">
        <v>173</v>
      </c>
      <c r="I36" s="3">
        <v>4</v>
      </c>
      <c r="J36" s="6" t="s">
        <v>174</v>
      </c>
      <c r="K36" s="4" t="s">
        <v>93</v>
      </c>
      <c r="L36" s="3">
        <v>20</v>
      </c>
    </row>
    <row r="37" spans="1:12" ht="51" x14ac:dyDescent="0.25">
      <c r="A37" s="7" t="s">
        <v>76</v>
      </c>
      <c r="B37" s="7" t="s">
        <v>134</v>
      </c>
      <c r="C37" s="3"/>
      <c r="D37" s="4" t="s">
        <v>175</v>
      </c>
      <c r="E37" s="5" t="s">
        <v>176</v>
      </c>
      <c r="F37" s="6" t="s">
        <v>461</v>
      </c>
      <c r="G37" s="6" t="s">
        <v>177</v>
      </c>
      <c r="H37" s="6" t="s">
        <v>178</v>
      </c>
      <c r="I37" s="3">
        <v>5</v>
      </c>
      <c r="J37" s="6" t="s">
        <v>179</v>
      </c>
      <c r="K37" s="4" t="s">
        <v>93</v>
      </c>
      <c r="L37" s="3">
        <v>20</v>
      </c>
    </row>
    <row r="38" spans="1:12" ht="38.25" x14ac:dyDescent="0.25">
      <c r="A38" s="7" t="s">
        <v>76</v>
      </c>
      <c r="B38" s="7" t="s">
        <v>134</v>
      </c>
      <c r="C38" s="3"/>
      <c r="D38" s="4" t="s">
        <v>180</v>
      </c>
      <c r="E38" s="5" t="s">
        <v>181</v>
      </c>
      <c r="F38" s="6" t="s">
        <v>462</v>
      </c>
      <c r="G38" s="6" t="s">
        <v>182</v>
      </c>
      <c r="H38" s="6" t="s">
        <v>183</v>
      </c>
      <c r="I38" s="3">
        <v>1</v>
      </c>
      <c r="J38" s="6" t="s">
        <v>184</v>
      </c>
      <c r="K38" s="4" t="s">
        <v>16</v>
      </c>
      <c r="L38" s="3">
        <v>20</v>
      </c>
    </row>
    <row r="39" spans="1:12" ht="25.5" x14ac:dyDescent="0.25">
      <c r="A39" s="7" t="s">
        <v>76</v>
      </c>
      <c r="B39" s="7" t="s">
        <v>134</v>
      </c>
      <c r="C39" s="3"/>
      <c r="D39" s="4" t="s">
        <v>185</v>
      </c>
      <c r="E39" s="5" t="s">
        <v>186</v>
      </c>
      <c r="F39" s="6" t="s">
        <v>463</v>
      </c>
      <c r="G39" s="6" t="s">
        <v>187</v>
      </c>
      <c r="H39" s="6" t="s">
        <v>188</v>
      </c>
      <c r="I39" s="3">
        <v>1</v>
      </c>
      <c r="J39" s="6" t="s">
        <v>189</v>
      </c>
      <c r="K39" s="4" t="s">
        <v>16</v>
      </c>
      <c r="L39" s="3">
        <v>20</v>
      </c>
    </row>
    <row r="40" spans="1:12" ht="25.5" x14ac:dyDescent="0.25">
      <c r="A40" s="7" t="s">
        <v>76</v>
      </c>
      <c r="B40" s="7" t="s">
        <v>134</v>
      </c>
      <c r="C40" s="3"/>
      <c r="D40" s="4" t="s">
        <v>190</v>
      </c>
      <c r="E40" s="5" t="s">
        <v>191</v>
      </c>
      <c r="F40" s="6" t="s">
        <v>464</v>
      </c>
      <c r="G40" s="6" t="s">
        <v>192</v>
      </c>
      <c r="H40" s="6" t="s">
        <v>193</v>
      </c>
      <c r="I40" s="3">
        <v>1</v>
      </c>
      <c r="J40" s="6" t="s">
        <v>194</v>
      </c>
      <c r="K40" s="4" t="s">
        <v>16</v>
      </c>
      <c r="L40" s="3">
        <v>20</v>
      </c>
    </row>
    <row r="41" spans="1:12" ht="51" x14ac:dyDescent="0.25">
      <c r="A41" s="7" t="s">
        <v>76</v>
      </c>
      <c r="B41" s="7" t="s">
        <v>195</v>
      </c>
      <c r="C41" s="3"/>
      <c r="D41" s="4" t="s">
        <v>196</v>
      </c>
      <c r="E41" s="5" t="s">
        <v>197</v>
      </c>
      <c r="F41" s="6" t="s">
        <v>465</v>
      </c>
      <c r="G41" s="6" t="s">
        <v>198</v>
      </c>
      <c r="H41" s="6" t="s">
        <v>199</v>
      </c>
      <c r="I41" s="3">
        <v>1</v>
      </c>
      <c r="J41" s="6" t="s">
        <v>200</v>
      </c>
      <c r="K41" s="4" t="s">
        <v>93</v>
      </c>
      <c r="L41" s="3">
        <v>20</v>
      </c>
    </row>
    <row r="42" spans="1:12" ht="51" x14ac:dyDescent="0.25">
      <c r="A42" s="7" t="s">
        <v>76</v>
      </c>
      <c r="B42" s="7" t="s">
        <v>195</v>
      </c>
      <c r="C42" s="3"/>
      <c r="D42" s="4" t="s">
        <v>201</v>
      </c>
      <c r="E42" s="5" t="s">
        <v>202</v>
      </c>
      <c r="F42" s="6" t="s">
        <v>466</v>
      </c>
      <c r="G42" s="6" t="s">
        <v>203</v>
      </c>
      <c r="H42" s="6" t="s">
        <v>204</v>
      </c>
      <c r="I42" s="3">
        <v>3</v>
      </c>
      <c r="J42" s="6" t="s">
        <v>205</v>
      </c>
      <c r="K42" s="4" t="s">
        <v>93</v>
      </c>
      <c r="L42" s="3">
        <v>20</v>
      </c>
    </row>
    <row r="43" spans="1:12" ht="51" x14ac:dyDescent="0.25">
      <c r="A43" s="7" t="s">
        <v>76</v>
      </c>
      <c r="B43" s="7" t="s">
        <v>195</v>
      </c>
      <c r="C43" s="3"/>
      <c r="D43" s="4" t="s">
        <v>206</v>
      </c>
      <c r="E43" s="5" t="s">
        <v>207</v>
      </c>
      <c r="F43" s="6" t="s">
        <v>467</v>
      </c>
      <c r="G43" s="6" t="s">
        <v>208</v>
      </c>
      <c r="H43" s="6" t="s">
        <v>209</v>
      </c>
      <c r="I43" s="3">
        <v>19</v>
      </c>
      <c r="J43" s="6" t="s">
        <v>210</v>
      </c>
      <c r="K43" s="4" t="s">
        <v>93</v>
      </c>
      <c r="L43" s="3">
        <v>20</v>
      </c>
    </row>
    <row r="44" spans="1:12" ht="38.25" x14ac:dyDescent="0.25">
      <c r="A44" s="7" t="s">
        <v>76</v>
      </c>
      <c r="B44" s="7" t="s">
        <v>195</v>
      </c>
      <c r="C44" s="3"/>
      <c r="D44" s="4" t="s">
        <v>211</v>
      </c>
      <c r="E44" s="5" t="s">
        <v>212</v>
      </c>
      <c r="F44" s="6" t="s">
        <v>468</v>
      </c>
      <c r="G44" s="6" t="s">
        <v>213</v>
      </c>
      <c r="H44" s="6" t="s">
        <v>214</v>
      </c>
      <c r="I44" s="3">
        <v>1</v>
      </c>
      <c r="J44" s="6" t="s">
        <v>215</v>
      </c>
      <c r="K44" s="4" t="s">
        <v>93</v>
      </c>
      <c r="L44" s="3">
        <v>20</v>
      </c>
    </row>
    <row r="45" spans="1:12" ht="51" x14ac:dyDescent="0.25">
      <c r="A45" s="7" t="s">
        <v>76</v>
      </c>
      <c r="B45" s="7" t="s">
        <v>195</v>
      </c>
      <c r="C45" s="3"/>
      <c r="D45" s="4" t="s">
        <v>216</v>
      </c>
      <c r="E45" s="5" t="s">
        <v>217</v>
      </c>
      <c r="F45" s="6" t="s">
        <v>469</v>
      </c>
      <c r="G45" s="6" t="s">
        <v>218</v>
      </c>
      <c r="H45" s="6" t="s">
        <v>219</v>
      </c>
      <c r="I45" s="3">
        <v>1</v>
      </c>
      <c r="J45" s="6" t="s">
        <v>220</v>
      </c>
      <c r="K45" s="4" t="s">
        <v>93</v>
      </c>
      <c r="L45" s="3">
        <v>20</v>
      </c>
    </row>
    <row r="46" spans="1:12" x14ac:dyDescent="0.25">
      <c r="A46" s="8" t="s">
        <v>221</v>
      </c>
      <c r="B46" s="8" t="s">
        <v>222</v>
      </c>
      <c r="C46" s="3"/>
      <c r="D46" s="4" t="s">
        <v>223</v>
      </c>
      <c r="E46" s="5" t="s">
        <v>224</v>
      </c>
      <c r="F46" s="6" t="s">
        <v>470</v>
      </c>
      <c r="G46" s="6" t="s">
        <v>225</v>
      </c>
      <c r="H46" s="6" t="s">
        <v>226</v>
      </c>
      <c r="I46" s="3">
        <v>1</v>
      </c>
      <c r="J46" s="6" t="s">
        <v>227</v>
      </c>
      <c r="K46" s="4" t="s">
        <v>16</v>
      </c>
      <c r="L46" s="3">
        <v>20</v>
      </c>
    </row>
    <row r="47" spans="1:12" x14ac:dyDescent="0.25">
      <c r="A47" s="8" t="s">
        <v>221</v>
      </c>
      <c r="B47" s="8" t="s">
        <v>222</v>
      </c>
      <c r="C47" s="3"/>
      <c r="D47" s="4" t="s">
        <v>228</v>
      </c>
      <c r="E47" s="5" t="s">
        <v>229</v>
      </c>
      <c r="F47" s="6" t="s">
        <v>471</v>
      </c>
      <c r="G47" s="6" t="s">
        <v>230</v>
      </c>
      <c r="H47" s="6" t="s">
        <v>231</v>
      </c>
      <c r="I47" s="3">
        <v>1</v>
      </c>
      <c r="J47" s="6"/>
      <c r="K47" s="4" t="s">
        <v>16</v>
      </c>
      <c r="L47" s="3">
        <v>20</v>
      </c>
    </row>
    <row r="48" spans="1:12" x14ac:dyDescent="0.25">
      <c r="A48" s="8" t="s">
        <v>221</v>
      </c>
      <c r="B48" s="8" t="s">
        <v>222</v>
      </c>
      <c r="C48" s="3"/>
      <c r="D48" s="4" t="s">
        <v>232</v>
      </c>
      <c r="E48" s="5" t="s">
        <v>233</v>
      </c>
      <c r="F48" s="6" t="s">
        <v>472</v>
      </c>
      <c r="G48" s="6" t="s">
        <v>234</v>
      </c>
      <c r="H48" s="6" t="s">
        <v>235</v>
      </c>
      <c r="I48" s="3">
        <v>1</v>
      </c>
      <c r="J48" s="6" t="s">
        <v>236</v>
      </c>
      <c r="K48" s="4" t="s">
        <v>16</v>
      </c>
      <c r="L48" s="3">
        <v>20</v>
      </c>
    </row>
    <row r="49" spans="1:12" x14ac:dyDescent="0.25">
      <c r="A49" s="8" t="s">
        <v>221</v>
      </c>
      <c r="B49" s="8" t="s">
        <v>222</v>
      </c>
      <c r="C49" s="3"/>
      <c r="D49" s="4" t="s">
        <v>237</v>
      </c>
      <c r="E49" s="5" t="s">
        <v>238</v>
      </c>
      <c r="F49" s="6" t="s">
        <v>473</v>
      </c>
      <c r="G49" s="6" t="s">
        <v>239</v>
      </c>
      <c r="H49" s="6" t="s">
        <v>240</v>
      </c>
      <c r="I49" s="3">
        <v>1</v>
      </c>
      <c r="J49" s="6"/>
      <c r="K49" s="4" t="s">
        <v>93</v>
      </c>
      <c r="L49" s="3">
        <v>20</v>
      </c>
    </row>
    <row r="50" spans="1:12" ht="25.5" x14ac:dyDescent="0.25">
      <c r="A50" s="8" t="s">
        <v>221</v>
      </c>
      <c r="B50" s="8" t="s">
        <v>222</v>
      </c>
      <c r="C50" s="3"/>
      <c r="D50" s="4" t="s">
        <v>241</v>
      </c>
      <c r="E50" s="5" t="s">
        <v>242</v>
      </c>
      <c r="F50" s="6" t="s">
        <v>474</v>
      </c>
      <c r="G50" s="6" t="s">
        <v>243</v>
      </c>
      <c r="H50" s="6" t="s">
        <v>244</v>
      </c>
      <c r="I50" s="3">
        <v>1</v>
      </c>
      <c r="J50" s="6" t="s">
        <v>245</v>
      </c>
      <c r="K50" s="4" t="s">
        <v>93</v>
      </c>
      <c r="L50" s="3">
        <v>20</v>
      </c>
    </row>
    <row r="51" spans="1:12" ht="25.5" x14ac:dyDescent="0.25">
      <c r="A51" s="8" t="s">
        <v>221</v>
      </c>
      <c r="B51" s="8" t="s">
        <v>222</v>
      </c>
      <c r="C51" s="3"/>
      <c r="D51" s="4" t="s">
        <v>246</v>
      </c>
      <c r="E51" s="5" t="s">
        <v>247</v>
      </c>
      <c r="F51" s="6" t="s">
        <v>475</v>
      </c>
      <c r="G51" s="6" t="s">
        <v>248</v>
      </c>
      <c r="H51" s="6" t="s">
        <v>249</v>
      </c>
      <c r="I51" s="3">
        <v>1</v>
      </c>
      <c r="J51" s="6" t="s">
        <v>250</v>
      </c>
      <c r="K51" s="4" t="s">
        <v>93</v>
      </c>
      <c r="L51" s="3">
        <v>20</v>
      </c>
    </row>
    <row r="52" spans="1:12" x14ac:dyDescent="0.25">
      <c r="A52" s="8" t="s">
        <v>221</v>
      </c>
      <c r="B52" s="8" t="s">
        <v>222</v>
      </c>
      <c r="C52" s="3"/>
      <c r="D52" s="4" t="s">
        <v>251</v>
      </c>
      <c r="E52" s="5" t="s">
        <v>252</v>
      </c>
      <c r="F52" s="6" t="s">
        <v>476</v>
      </c>
      <c r="G52" s="6" t="s">
        <v>253</v>
      </c>
      <c r="H52" s="6" t="s">
        <v>254</v>
      </c>
      <c r="I52" s="3">
        <v>1</v>
      </c>
      <c r="J52" s="6"/>
      <c r="K52" s="4" t="s">
        <v>93</v>
      </c>
      <c r="L52" s="3">
        <v>20</v>
      </c>
    </row>
    <row r="53" spans="1:12" x14ac:dyDescent="0.25">
      <c r="A53" s="8" t="s">
        <v>221</v>
      </c>
      <c r="B53" s="8" t="s">
        <v>222</v>
      </c>
      <c r="C53" s="3"/>
      <c r="D53" s="4" t="s">
        <v>255</v>
      </c>
      <c r="E53" s="5" t="s">
        <v>256</v>
      </c>
      <c r="F53" s="6" t="s">
        <v>477</v>
      </c>
      <c r="G53" s="6" t="s">
        <v>257</v>
      </c>
      <c r="H53" s="6" t="s">
        <v>258</v>
      </c>
      <c r="I53" s="3">
        <v>1</v>
      </c>
      <c r="J53" s="6"/>
      <c r="K53" s="4" t="s">
        <v>93</v>
      </c>
      <c r="L53" s="3">
        <v>20</v>
      </c>
    </row>
    <row r="54" spans="1:12" x14ac:dyDescent="0.25">
      <c r="A54" s="8" t="s">
        <v>221</v>
      </c>
      <c r="B54" s="8" t="s">
        <v>222</v>
      </c>
      <c r="C54" s="3"/>
      <c r="D54" s="4" t="s">
        <v>259</v>
      </c>
      <c r="E54" s="5" t="s">
        <v>260</v>
      </c>
      <c r="F54" s="6" t="s">
        <v>478</v>
      </c>
      <c r="G54" s="6" t="s">
        <v>261</v>
      </c>
      <c r="H54" s="6" t="s">
        <v>262</v>
      </c>
      <c r="I54" s="3">
        <v>1</v>
      </c>
      <c r="J54" s="6"/>
      <c r="K54" s="4" t="s">
        <v>93</v>
      </c>
      <c r="L54" s="3">
        <v>20</v>
      </c>
    </row>
    <row r="55" spans="1:12" x14ac:dyDescent="0.25">
      <c r="A55" s="8" t="s">
        <v>221</v>
      </c>
      <c r="B55" s="8" t="s">
        <v>222</v>
      </c>
      <c r="C55" s="3"/>
      <c r="D55" s="4" t="s">
        <v>263</v>
      </c>
      <c r="E55" s="5" t="s">
        <v>264</v>
      </c>
      <c r="F55" s="6" t="s">
        <v>479</v>
      </c>
      <c r="G55" s="6" t="s">
        <v>265</v>
      </c>
      <c r="H55" s="6" t="s">
        <v>266</v>
      </c>
      <c r="I55" s="3">
        <v>1</v>
      </c>
      <c r="J55" s="6"/>
      <c r="K55" s="4" t="s">
        <v>93</v>
      </c>
      <c r="L55" s="3">
        <v>20</v>
      </c>
    </row>
    <row r="56" spans="1:12" x14ac:dyDescent="0.25">
      <c r="A56" s="8" t="s">
        <v>221</v>
      </c>
      <c r="B56" s="8" t="s">
        <v>222</v>
      </c>
      <c r="C56" s="3"/>
      <c r="D56" s="4" t="s">
        <v>267</v>
      </c>
      <c r="E56" s="5" t="s">
        <v>268</v>
      </c>
      <c r="F56" s="6" t="s">
        <v>480</v>
      </c>
      <c r="G56" s="6" t="s">
        <v>269</v>
      </c>
      <c r="H56" s="6" t="s">
        <v>270</v>
      </c>
      <c r="I56" s="3">
        <v>1</v>
      </c>
      <c r="J56" s="6"/>
      <c r="K56" s="4" t="s">
        <v>93</v>
      </c>
      <c r="L56" s="3">
        <v>20</v>
      </c>
    </row>
    <row r="57" spans="1:12" ht="38.25" x14ac:dyDescent="0.25">
      <c r="A57" s="8" t="s">
        <v>221</v>
      </c>
      <c r="B57" s="8" t="s">
        <v>222</v>
      </c>
      <c r="C57" s="3"/>
      <c r="D57" s="4" t="s">
        <v>271</v>
      </c>
      <c r="E57" s="5" t="s">
        <v>272</v>
      </c>
      <c r="F57" s="6" t="s">
        <v>481</v>
      </c>
      <c r="G57" s="6" t="s">
        <v>273</v>
      </c>
      <c r="H57" s="6" t="s">
        <v>274</v>
      </c>
      <c r="I57" s="3">
        <v>1</v>
      </c>
      <c r="J57" s="6" t="s">
        <v>275</v>
      </c>
      <c r="K57" s="4" t="s">
        <v>93</v>
      </c>
      <c r="L57" s="3">
        <v>20</v>
      </c>
    </row>
    <row r="58" spans="1:12" x14ac:dyDescent="0.25">
      <c r="A58" s="8" t="s">
        <v>221</v>
      </c>
      <c r="B58" s="8" t="s">
        <v>222</v>
      </c>
      <c r="C58" s="3"/>
      <c r="D58" s="4" t="s">
        <v>276</v>
      </c>
      <c r="E58" s="5" t="s">
        <v>277</v>
      </c>
      <c r="F58" s="6" t="s">
        <v>482</v>
      </c>
      <c r="G58" s="6" t="s">
        <v>278</v>
      </c>
      <c r="H58" s="6" t="s">
        <v>279</v>
      </c>
      <c r="I58" s="3">
        <v>1</v>
      </c>
      <c r="J58" s="6"/>
      <c r="K58" s="4" t="s">
        <v>93</v>
      </c>
      <c r="L58" s="3">
        <v>20</v>
      </c>
    </row>
    <row r="59" spans="1:12" x14ac:dyDescent="0.25">
      <c r="A59" s="8" t="s">
        <v>221</v>
      </c>
      <c r="B59" s="8" t="s">
        <v>222</v>
      </c>
      <c r="C59" s="3"/>
      <c r="D59" s="4" t="s">
        <v>280</v>
      </c>
      <c r="E59" s="5" t="s">
        <v>281</v>
      </c>
      <c r="F59" s="6" t="s">
        <v>483</v>
      </c>
      <c r="G59" s="6" t="s">
        <v>282</v>
      </c>
      <c r="H59" s="6" t="s">
        <v>283</v>
      </c>
      <c r="I59" s="3">
        <v>1</v>
      </c>
      <c r="J59" s="6"/>
      <c r="K59" s="4" t="s">
        <v>93</v>
      </c>
      <c r="L59" s="3">
        <v>20</v>
      </c>
    </row>
    <row r="60" spans="1:12" x14ac:dyDescent="0.25">
      <c r="A60" s="8" t="s">
        <v>221</v>
      </c>
      <c r="B60" s="8" t="s">
        <v>222</v>
      </c>
      <c r="C60" s="3"/>
      <c r="D60" s="4" t="s">
        <v>284</v>
      </c>
      <c r="E60" s="5" t="s">
        <v>285</v>
      </c>
      <c r="F60" s="6" t="s">
        <v>484</v>
      </c>
      <c r="G60" s="6" t="s">
        <v>286</v>
      </c>
      <c r="H60" s="6" t="s">
        <v>287</v>
      </c>
      <c r="I60" s="3">
        <v>1</v>
      </c>
      <c r="J60" s="6"/>
      <c r="K60" s="4" t="s">
        <v>93</v>
      </c>
      <c r="L60" s="3">
        <v>20</v>
      </c>
    </row>
    <row r="61" spans="1:12" ht="25.5" x14ac:dyDescent="0.25">
      <c r="A61" s="8" t="s">
        <v>221</v>
      </c>
      <c r="B61" s="8" t="s">
        <v>222</v>
      </c>
      <c r="C61" s="3"/>
      <c r="D61" s="4" t="s">
        <v>288</v>
      </c>
      <c r="E61" s="5" t="s">
        <v>289</v>
      </c>
      <c r="F61" s="6" t="s">
        <v>485</v>
      </c>
      <c r="G61" s="6" t="s">
        <v>290</v>
      </c>
      <c r="H61" s="6" t="s">
        <v>291</v>
      </c>
      <c r="I61" s="3">
        <v>1</v>
      </c>
      <c r="J61" s="6" t="s">
        <v>292</v>
      </c>
      <c r="K61" s="4" t="s">
        <v>93</v>
      </c>
      <c r="L61" s="3">
        <v>20</v>
      </c>
    </row>
    <row r="62" spans="1:12" ht="38.25" x14ac:dyDescent="0.25">
      <c r="A62" s="8" t="s">
        <v>221</v>
      </c>
      <c r="B62" s="8" t="s">
        <v>293</v>
      </c>
      <c r="C62" s="3"/>
      <c r="D62" s="4" t="s">
        <v>294</v>
      </c>
      <c r="E62" s="5" t="s">
        <v>295</v>
      </c>
      <c r="F62" s="6" t="s">
        <v>486</v>
      </c>
      <c r="G62" s="6" t="s">
        <v>296</v>
      </c>
      <c r="H62" s="6" t="s">
        <v>297</v>
      </c>
      <c r="I62" s="3">
        <v>1</v>
      </c>
      <c r="J62" s="6" t="s">
        <v>298</v>
      </c>
      <c r="K62" s="4" t="s">
        <v>93</v>
      </c>
      <c r="L62" s="3">
        <v>20</v>
      </c>
    </row>
    <row r="63" spans="1:12" ht="51" x14ac:dyDescent="0.25">
      <c r="A63" s="8" t="s">
        <v>221</v>
      </c>
      <c r="B63" s="8" t="s">
        <v>293</v>
      </c>
      <c r="C63" s="3"/>
      <c r="D63" s="4" t="s">
        <v>299</v>
      </c>
      <c r="E63" s="5" t="s">
        <v>300</v>
      </c>
      <c r="F63" s="6" t="s">
        <v>487</v>
      </c>
      <c r="G63" s="6" t="s">
        <v>301</v>
      </c>
      <c r="H63" s="6" t="s">
        <v>302</v>
      </c>
      <c r="I63" s="3">
        <v>9</v>
      </c>
      <c r="J63" s="6" t="s">
        <v>303</v>
      </c>
      <c r="K63" s="4" t="s">
        <v>93</v>
      </c>
      <c r="L63" s="3">
        <v>20</v>
      </c>
    </row>
    <row r="64" spans="1:12" x14ac:dyDescent="0.25">
      <c r="A64" s="8" t="s">
        <v>221</v>
      </c>
      <c r="B64" s="8" t="s">
        <v>293</v>
      </c>
      <c r="C64" s="3"/>
      <c r="D64" s="4" t="s">
        <v>304</v>
      </c>
      <c r="E64" s="5" t="s">
        <v>305</v>
      </c>
      <c r="F64" s="6" t="s">
        <v>488</v>
      </c>
      <c r="G64" s="6" t="s">
        <v>306</v>
      </c>
      <c r="H64" s="6" t="s">
        <v>307</v>
      </c>
      <c r="I64" s="3">
        <v>1</v>
      </c>
      <c r="J64" s="6"/>
      <c r="K64" s="4" t="s">
        <v>93</v>
      </c>
      <c r="L64" s="3">
        <v>20</v>
      </c>
    </row>
    <row r="65" spans="1:12" ht="25.5" x14ac:dyDescent="0.25">
      <c r="A65" s="8" t="s">
        <v>221</v>
      </c>
      <c r="B65" s="8" t="s">
        <v>293</v>
      </c>
      <c r="C65" s="3"/>
      <c r="D65" s="4" t="s">
        <v>308</v>
      </c>
      <c r="E65" s="5" t="s">
        <v>309</v>
      </c>
      <c r="F65" s="6" t="s">
        <v>489</v>
      </c>
      <c r="G65" s="6" t="s">
        <v>310</v>
      </c>
      <c r="H65" s="6" t="s">
        <v>311</v>
      </c>
      <c r="I65" s="3">
        <v>1</v>
      </c>
      <c r="J65" s="6" t="s">
        <v>312</v>
      </c>
      <c r="K65" s="4" t="s">
        <v>93</v>
      </c>
      <c r="L65" s="3">
        <v>20</v>
      </c>
    </row>
    <row r="66" spans="1:12" x14ac:dyDescent="0.25">
      <c r="A66" s="8" t="s">
        <v>221</v>
      </c>
      <c r="B66" s="8" t="s">
        <v>293</v>
      </c>
      <c r="C66" s="3"/>
      <c r="D66" s="4" t="s">
        <v>313</v>
      </c>
      <c r="E66" s="5" t="s">
        <v>314</v>
      </c>
      <c r="F66" s="6" t="s">
        <v>490</v>
      </c>
      <c r="G66" s="6" t="s">
        <v>315</v>
      </c>
      <c r="H66" s="6" t="s">
        <v>316</v>
      </c>
      <c r="I66" s="3">
        <v>1</v>
      </c>
      <c r="J66" s="6"/>
      <c r="K66" s="4" t="s">
        <v>93</v>
      </c>
      <c r="L66" s="3">
        <v>20</v>
      </c>
    </row>
    <row r="67" spans="1:12" x14ac:dyDescent="0.25">
      <c r="A67" s="8" t="s">
        <v>221</v>
      </c>
      <c r="B67" s="8" t="s">
        <v>293</v>
      </c>
      <c r="C67" s="3"/>
      <c r="D67" s="4" t="s">
        <v>317</v>
      </c>
      <c r="E67" s="5" t="s">
        <v>318</v>
      </c>
      <c r="F67" s="6" t="s">
        <v>491</v>
      </c>
      <c r="G67" s="6" t="s">
        <v>319</v>
      </c>
      <c r="H67" s="6" t="s">
        <v>320</v>
      </c>
      <c r="I67" s="3">
        <v>1</v>
      </c>
      <c r="J67" s="6"/>
      <c r="K67" s="4" t="s">
        <v>93</v>
      </c>
      <c r="L67" s="3">
        <v>20</v>
      </c>
    </row>
    <row r="68" spans="1:12" x14ac:dyDescent="0.25">
      <c r="A68" s="8" t="s">
        <v>221</v>
      </c>
      <c r="B68" s="8" t="s">
        <v>293</v>
      </c>
      <c r="C68" s="3"/>
      <c r="D68" s="4" t="s">
        <v>321</v>
      </c>
      <c r="E68" s="5" t="s">
        <v>322</v>
      </c>
      <c r="F68" s="6" t="s">
        <v>492</v>
      </c>
      <c r="G68" s="6" t="s">
        <v>323</v>
      </c>
      <c r="H68" s="6" t="s">
        <v>324</v>
      </c>
      <c r="I68" s="3">
        <v>1</v>
      </c>
      <c r="J68" s="6"/>
      <c r="K68" s="4" t="s">
        <v>93</v>
      </c>
      <c r="L68" s="3">
        <v>20</v>
      </c>
    </row>
    <row r="69" spans="1:12" ht="25.5" x14ac:dyDescent="0.25">
      <c r="A69" s="8" t="s">
        <v>221</v>
      </c>
      <c r="B69" s="8" t="s">
        <v>293</v>
      </c>
      <c r="C69" s="3"/>
      <c r="D69" s="4" t="s">
        <v>325</v>
      </c>
      <c r="E69" s="5" t="s">
        <v>326</v>
      </c>
      <c r="F69" s="6" t="s">
        <v>493</v>
      </c>
      <c r="G69" s="6" t="s">
        <v>327</v>
      </c>
      <c r="H69" s="6" t="s">
        <v>328</v>
      </c>
      <c r="I69" s="3">
        <v>1</v>
      </c>
      <c r="J69" s="6" t="s">
        <v>329</v>
      </c>
      <c r="K69" s="4" t="s">
        <v>93</v>
      </c>
      <c r="L69" s="3">
        <v>20</v>
      </c>
    </row>
    <row r="70" spans="1:12" ht="25.5" x14ac:dyDescent="0.25">
      <c r="A70" s="8" t="s">
        <v>221</v>
      </c>
      <c r="B70" s="8" t="s">
        <v>293</v>
      </c>
      <c r="C70" s="3"/>
      <c r="D70" s="4" t="s">
        <v>330</v>
      </c>
      <c r="E70" s="5" t="s">
        <v>331</v>
      </c>
      <c r="F70" s="6" t="s">
        <v>494</v>
      </c>
      <c r="G70" s="6" t="s">
        <v>332</v>
      </c>
      <c r="H70" s="6" t="s">
        <v>333</v>
      </c>
      <c r="I70" s="3">
        <v>1</v>
      </c>
      <c r="J70" s="6" t="s">
        <v>334</v>
      </c>
      <c r="K70" s="4" t="s">
        <v>93</v>
      </c>
      <c r="L70" s="3">
        <v>20</v>
      </c>
    </row>
    <row r="71" spans="1:12" ht="25.5" x14ac:dyDescent="0.25">
      <c r="A71" s="8" t="s">
        <v>221</v>
      </c>
      <c r="B71" s="8" t="s">
        <v>293</v>
      </c>
      <c r="C71" s="3"/>
      <c r="D71" s="4" t="s">
        <v>335</v>
      </c>
      <c r="E71" s="5" t="s">
        <v>336</v>
      </c>
      <c r="F71" s="6" t="s">
        <v>495</v>
      </c>
      <c r="G71" s="6" t="s">
        <v>337</v>
      </c>
      <c r="H71" s="6" t="s">
        <v>338</v>
      </c>
      <c r="I71" s="3">
        <v>1</v>
      </c>
      <c r="J71" s="6" t="s">
        <v>339</v>
      </c>
      <c r="K71" s="4" t="s">
        <v>93</v>
      </c>
      <c r="L71" s="3">
        <v>20</v>
      </c>
    </row>
    <row r="72" spans="1:12" ht="25.5" x14ac:dyDescent="0.25">
      <c r="A72" s="8" t="s">
        <v>221</v>
      </c>
      <c r="B72" s="8" t="s">
        <v>340</v>
      </c>
      <c r="C72" s="3"/>
      <c r="D72" s="4" t="s">
        <v>341</v>
      </c>
      <c r="E72" s="5" t="s">
        <v>342</v>
      </c>
      <c r="F72" s="6" t="s">
        <v>496</v>
      </c>
      <c r="G72" s="6" t="s">
        <v>343</v>
      </c>
      <c r="H72" s="6" t="s">
        <v>344</v>
      </c>
      <c r="I72" s="3">
        <v>1</v>
      </c>
      <c r="J72" s="6" t="s">
        <v>345</v>
      </c>
      <c r="K72" s="4" t="s">
        <v>16</v>
      </c>
      <c r="L72" s="3">
        <v>20</v>
      </c>
    </row>
    <row r="73" spans="1:12" ht="25.5" x14ac:dyDescent="0.25">
      <c r="A73" s="8" t="s">
        <v>221</v>
      </c>
      <c r="B73" s="8" t="s">
        <v>340</v>
      </c>
      <c r="C73" s="3"/>
      <c r="D73" s="4" t="s">
        <v>346</v>
      </c>
      <c r="E73" s="5" t="s">
        <v>347</v>
      </c>
      <c r="F73" s="6" t="s">
        <v>497</v>
      </c>
      <c r="G73" s="6" t="s">
        <v>348</v>
      </c>
      <c r="H73" s="6" t="s">
        <v>349</v>
      </c>
      <c r="I73" s="3">
        <v>1</v>
      </c>
      <c r="J73" s="6" t="s">
        <v>350</v>
      </c>
      <c r="K73" s="4" t="s">
        <v>16</v>
      </c>
      <c r="L73" s="3">
        <v>20</v>
      </c>
    </row>
    <row r="74" spans="1:12" ht="25.5" x14ac:dyDescent="0.25">
      <c r="A74" s="8" t="s">
        <v>221</v>
      </c>
      <c r="B74" s="8" t="s">
        <v>340</v>
      </c>
      <c r="C74" s="3"/>
      <c r="D74" s="4" t="s">
        <v>351</v>
      </c>
      <c r="E74" s="5" t="s">
        <v>352</v>
      </c>
      <c r="F74" s="6" t="s">
        <v>498</v>
      </c>
      <c r="G74" s="6" t="s">
        <v>353</v>
      </c>
      <c r="H74" s="6" t="s">
        <v>354</v>
      </c>
      <c r="I74" s="3">
        <v>1</v>
      </c>
      <c r="J74" s="6" t="s">
        <v>355</v>
      </c>
      <c r="K74" s="4" t="s">
        <v>16</v>
      </c>
      <c r="L74" s="3">
        <v>20</v>
      </c>
    </row>
    <row r="75" spans="1:12" ht="25.5" x14ac:dyDescent="0.25">
      <c r="A75" s="8" t="s">
        <v>221</v>
      </c>
      <c r="B75" s="8" t="s">
        <v>340</v>
      </c>
      <c r="C75" s="3"/>
      <c r="D75" s="4" t="s">
        <v>356</v>
      </c>
      <c r="E75" s="5" t="s">
        <v>357</v>
      </c>
      <c r="F75" s="6" t="s">
        <v>499</v>
      </c>
      <c r="G75" s="6" t="s">
        <v>358</v>
      </c>
      <c r="H75" s="6" t="s">
        <v>359</v>
      </c>
      <c r="I75" s="3">
        <v>2</v>
      </c>
      <c r="J75" s="6" t="s">
        <v>360</v>
      </c>
      <c r="K75" s="4" t="s">
        <v>16</v>
      </c>
      <c r="L75" s="3">
        <v>20</v>
      </c>
    </row>
    <row r="76" spans="1:12" ht="25.5" x14ac:dyDescent="0.25">
      <c r="A76" s="8" t="s">
        <v>221</v>
      </c>
      <c r="B76" s="8" t="s">
        <v>340</v>
      </c>
      <c r="C76" s="3"/>
      <c r="D76" s="4" t="s">
        <v>361</v>
      </c>
      <c r="E76" s="5" t="s">
        <v>362</v>
      </c>
      <c r="F76" s="6" t="s">
        <v>500</v>
      </c>
      <c r="G76" s="6" t="s">
        <v>363</v>
      </c>
      <c r="H76" s="6" t="s">
        <v>364</v>
      </c>
      <c r="I76" s="3">
        <v>1</v>
      </c>
      <c r="J76" s="6" t="s">
        <v>365</v>
      </c>
      <c r="K76" s="4" t="s">
        <v>93</v>
      </c>
      <c r="L76" s="3">
        <v>20</v>
      </c>
    </row>
    <row r="77" spans="1:12" ht="25.5" x14ac:dyDescent="0.25">
      <c r="A77" s="8" t="s">
        <v>221</v>
      </c>
      <c r="B77" s="8" t="s">
        <v>340</v>
      </c>
      <c r="C77" s="3"/>
      <c r="D77" s="4" t="s">
        <v>366</v>
      </c>
      <c r="E77" s="5" t="s">
        <v>367</v>
      </c>
      <c r="F77" s="6" t="s">
        <v>501</v>
      </c>
      <c r="G77" s="6" t="s">
        <v>368</v>
      </c>
      <c r="H77" s="6" t="s">
        <v>369</v>
      </c>
      <c r="I77" s="3">
        <v>1</v>
      </c>
      <c r="J77" s="6" t="s">
        <v>370</v>
      </c>
      <c r="K77" s="4" t="s">
        <v>93</v>
      </c>
      <c r="L77" s="3">
        <v>20</v>
      </c>
    </row>
    <row r="78" spans="1:12" x14ac:dyDescent="0.25">
      <c r="A78" s="8" t="s">
        <v>221</v>
      </c>
      <c r="B78" s="8" t="s">
        <v>340</v>
      </c>
      <c r="C78" s="3"/>
      <c r="D78" s="4" t="s">
        <v>371</v>
      </c>
      <c r="E78" s="5" t="s">
        <v>372</v>
      </c>
      <c r="F78" s="6" t="s">
        <v>502</v>
      </c>
      <c r="G78" s="6" t="s">
        <v>373</v>
      </c>
      <c r="H78" s="6" t="s">
        <v>374</v>
      </c>
      <c r="I78" s="3">
        <v>1</v>
      </c>
      <c r="J78" s="6"/>
      <c r="K78" s="4" t="s">
        <v>93</v>
      </c>
      <c r="L78" s="3">
        <v>20</v>
      </c>
    </row>
    <row r="79" spans="1:12" x14ac:dyDescent="0.25">
      <c r="A79" s="8" t="s">
        <v>221</v>
      </c>
      <c r="B79" s="8" t="s">
        <v>340</v>
      </c>
      <c r="C79" s="3"/>
      <c r="D79" s="4" t="s">
        <v>375</v>
      </c>
      <c r="E79" s="5" t="s">
        <v>376</v>
      </c>
      <c r="F79" s="6" t="s">
        <v>503</v>
      </c>
      <c r="G79" s="6" t="s">
        <v>377</v>
      </c>
      <c r="H79" s="6" t="s">
        <v>378</v>
      </c>
      <c r="I79" s="3">
        <v>1</v>
      </c>
      <c r="J79" s="6"/>
      <c r="K79" s="4" t="s">
        <v>93</v>
      </c>
      <c r="L79" s="3">
        <v>20</v>
      </c>
    </row>
    <row r="80" spans="1:12" x14ac:dyDescent="0.25">
      <c r="A80" s="8" t="s">
        <v>221</v>
      </c>
      <c r="B80" s="8" t="s">
        <v>340</v>
      </c>
      <c r="C80" s="3"/>
      <c r="D80" s="4" t="s">
        <v>379</v>
      </c>
      <c r="E80" s="5" t="s">
        <v>380</v>
      </c>
      <c r="F80" s="6" t="s">
        <v>504</v>
      </c>
      <c r="G80" s="6" t="s">
        <v>381</v>
      </c>
      <c r="H80" s="6" t="s">
        <v>382</v>
      </c>
      <c r="I80" s="3">
        <v>1</v>
      </c>
      <c r="J80" s="6"/>
      <c r="K80" s="4" t="s">
        <v>93</v>
      </c>
      <c r="L80" s="3">
        <v>20</v>
      </c>
    </row>
    <row r="81" spans="1:12" x14ac:dyDescent="0.25">
      <c r="A81" s="8" t="s">
        <v>221</v>
      </c>
      <c r="B81" s="8" t="s">
        <v>340</v>
      </c>
      <c r="C81" s="3"/>
      <c r="D81" s="4" t="s">
        <v>383</v>
      </c>
      <c r="E81" s="5" t="s">
        <v>384</v>
      </c>
      <c r="F81" s="6" t="s">
        <v>505</v>
      </c>
      <c r="G81" s="6" t="s">
        <v>385</v>
      </c>
      <c r="H81" s="6" t="s">
        <v>386</v>
      </c>
      <c r="I81" s="3">
        <v>1</v>
      </c>
      <c r="J81" s="6"/>
      <c r="K81" s="4" t="s">
        <v>93</v>
      </c>
      <c r="L81" s="3">
        <v>20</v>
      </c>
    </row>
    <row r="82" spans="1:12" ht="51" x14ac:dyDescent="0.25">
      <c r="A82" s="8" t="s">
        <v>221</v>
      </c>
      <c r="B82" s="8" t="s">
        <v>387</v>
      </c>
      <c r="C82" s="3"/>
      <c r="D82" s="4" t="s">
        <v>388</v>
      </c>
      <c r="E82" s="5" t="s">
        <v>389</v>
      </c>
      <c r="F82" s="6" t="s">
        <v>506</v>
      </c>
      <c r="G82" s="6" t="s">
        <v>390</v>
      </c>
      <c r="H82" s="6" t="s">
        <v>391</v>
      </c>
      <c r="I82" s="3">
        <v>1</v>
      </c>
      <c r="J82" s="6" t="s">
        <v>392</v>
      </c>
      <c r="K82" s="4" t="s">
        <v>93</v>
      </c>
      <c r="L82" s="3">
        <v>20</v>
      </c>
    </row>
    <row r="83" spans="1:12" ht="38.25" x14ac:dyDescent="0.25">
      <c r="A83" s="8" t="s">
        <v>221</v>
      </c>
      <c r="B83" s="8" t="s">
        <v>387</v>
      </c>
      <c r="C83" s="3"/>
      <c r="D83" s="4" t="s">
        <v>393</v>
      </c>
      <c r="E83" s="5" t="s">
        <v>394</v>
      </c>
      <c r="F83" s="6" t="s">
        <v>507</v>
      </c>
      <c r="G83" s="6" t="s">
        <v>395</v>
      </c>
      <c r="H83" s="6" t="s">
        <v>47</v>
      </c>
      <c r="I83" s="3">
        <v>1</v>
      </c>
      <c r="J83" s="6" t="s">
        <v>396</v>
      </c>
      <c r="K83" s="4" t="s">
        <v>93</v>
      </c>
      <c r="L83" s="3">
        <v>20</v>
      </c>
    </row>
    <row r="84" spans="1:12" ht="38.25" x14ac:dyDescent="0.25">
      <c r="A84" s="8" t="s">
        <v>221</v>
      </c>
      <c r="B84" s="8" t="s">
        <v>387</v>
      </c>
      <c r="C84" s="3"/>
      <c r="D84" s="4" t="s">
        <v>397</v>
      </c>
      <c r="E84" s="5" t="s">
        <v>398</v>
      </c>
      <c r="F84" s="6" t="s">
        <v>508</v>
      </c>
      <c r="G84" s="6" t="s">
        <v>399</v>
      </c>
      <c r="H84" s="6" t="s">
        <v>400</v>
      </c>
      <c r="I84" s="3">
        <v>1</v>
      </c>
      <c r="J84" s="6" t="s">
        <v>401</v>
      </c>
      <c r="K84" s="4" t="s">
        <v>93</v>
      </c>
      <c r="L84" s="3">
        <v>20</v>
      </c>
    </row>
    <row r="85" spans="1:12" ht="38.25" x14ac:dyDescent="0.25">
      <c r="A85" s="9" t="s">
        <v>402</v>
      </c>
      <c r="B85" s="9" t="s">
        <v>402</v>
      </c>
      <c r="C85" s="3"/>
      <c r="D85" s="4" t="s">
        <v>403</v>
      </c>
      <c r="E85" s="5" t="s">
        <v>404</v>
      </c>
      <c r="F85" s="6" t="s">
        <v>509</v>
      </c>
      <c r="G85" s="6" t="s">
        <v>405</v>
      </c>
      <c r="H85" s="6" t="s">
        <v>406</v>
      </c>
      <c r="I85" s="3">
        <v>1</v>
      </c>
      <c r="J85" s="6" t="s">
        <v>407</v>
      </c>
      <c r="K85" s="4" t="s">
        <v>16</v>
      </c>
      <c r="L85" s="3">
        <v>20</v>
      </c>
    </row>
  </sheetData>
  <autoFilter ref="A1:L8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workbookViewId="0"/>
  </sheetViews>
  <sheetFormatPr defaultRowHeight="15" x14ac:dyDescent="0.25"/>
  <cols>
    <col min="1" max="1" width="30" customWidth="1"/>
    <col min="2" max="4" width="12" customWidth="1"/>
  </cols>
  <sheetData>
    <row r="1" spans="1:4" ht="18" x14ac:dyDescent="0.25">
      <c r="A1" s="10" t="s">
        <v>408</v>
      </c>
    </row>
    <row r="2" spans="1:4" x14ac:dyDescent="0.25">
      <c r="A2" s="11" t="s">
        <v>409</v>
      </c>
    </row>
    <row r="4" spans="1:4" x14ac:dyDescent="0.25">
      <c r="A4" s="12" t="s">
        <v>1</v>
      </c>
      <c r="B4" s="12" t="s">
        <v>410</v>
      </c>
      <c r="C4" s="12" t="s">
        <v>411</v>
      </c>
      <c r="D4" s="12" t="s">
        <v>412</v>
      </c>
    </row>
    <row r="5" spans="1:4" x14ac:dyDescent="0.25">
      <c r="A5" s="13" t="s">
        <v>11</v>
      </c>
      <c r="B5" s="13">
        <f>COUNTIF(Achievements!$B$2:$B$85,A5)</f>
        <v>16</v>
      </c>
      <c r="C5" s="13">
        <v>20</v>
      </c>
      <c r="D5" s="13">
        <f t="shared" ref="D5:D13" si="0">B5*C5</f>
        <v>320</v>
      </c>
    </row>
    <row r="6" spans="1:4" x14ac:dyDescent="0.25">
      <c r="A6" s="13" t="s">
        <v>77</v>
      </c>
      <c r="B6" s="13">
        <f>COUNTIF(Achievements!$B$2:$B$85,A6)</f>
        <v>11</v>
      </c>
      <c r="C6" s="13">
        <v>20</v>
      </c>
      <c r="D6" s="13">
        <f t="shared" si="0"/>
        <v>220</v>
      </c>
    </row>
    <row r="7" spans="1:4" x14ac:dyDescent="0.25">
      <c r="A7" s="13" t="s">
        <v>134</v>
      </c>
      <c r="B7" s="13">
        <f>COUNTIF(Achievements!$B$2:$B$85,A7)</f>
        <v>12</v>
      </c>
      <c r="C7" s="13">
        <v>20</v>
      </c>
      <c r="D7" s="13">
        <f t="shared" si="0"/>
        <v>240</v>
      </c>
    </row>
    <row r="8" spans="1:4" x14ac:dyDescent="0.25">
      <c r="A8" s="13" t="s">
        <v>195</v>
      </c>
      <c r="B8" s="13">
        <f>COUNTIF(Achievements!$B$2:$B$85,A8)</f>
        <v>5</v>
      </c>
      <c r="C8" s="13">
        <v>20</v>
      </c>
      <c r="D8" s="13">
        <f t="shared" si="0"/>
        <v>100</v>
      </c>
    </row>
    <row r="9" spans="1:4" x14ac:dyDescent="0.25">
      <c r="A9" s="13" t="s">
        <v>222</v>
      </c>
      <c r="B9" s="13">
        <f>COUNTIF(Achievements!$B$2:$B$85,A9)</f>
        <v>16</v>
      </c>
      <c r="C9" s="13">
        <v>20</v>
      </c>
      <c r="D9" s="13">
        <f t="shared" si="0"/>
        <v>320</v>
      </c>
    </row>
    <row r="10" spans="1:4" x14ac:dyDescent="0.25">
      <c r="A10" s="13" t="s">
        <v>293</v>
      </c>
      <c r="B10" s="13">
        <f>COUNTIF(Achievements!$B$2:$B$85,A10)</f>
        <v>10</v>
      </c>
      <c r="C10" s="13">
        <v>20</v>
      </c>
      <c r="D10" s="13">
        <f t="shared" si="0"/>
        <v>200</v>
      </c>
    </row>
    <row r="11" spans="1:4" x14ac:dyDescent="0.25">
      <c r="A11" s="13" t="s">
        <v>340</v>
      </c>
      <c r="B11" s="13">
        <f>COUNTIF(Achievements!$B$2:$B$85,A11)</f>
        <v>10</v>
      </c>
      <c r="C11" s="13">
        <v>20</v>
      </c>
      <c r="D11" s="13">
        <f t="shared" si="0"/>
        <v>200</v>
      </c>
    </row>
    <row r="12" spans="1:4" x14ac:dyDescent="0.25">
      <c r="A12" s="13" t="s">
        <v>387</v>
      </c>
      <c r="B12" s="13">
        <f>COUNTIF(Achievements!$B$2:$B$85,A12)</f>
        <v>3</v>
      </c>
      <c r="C12" s="13">
        <v>20</v>
      </c>
      <c r="D12" s="13">
        <f t="shared" si="0"/>
        <v>60</v>
      </c>
    </row>
    <row r="13" spans="1:4" x14ac:dyDescent="0.25">
      <c r="A13" s="13" t="s">
        <v>402</v>
      </c>
      <c r="B13" s="13">
        <f>COUNTIF(Achievements!$B$2:$B$85,A13)</f>
        <v>1</v>
      </c>
      <c r="C13" s="13">
        <v>20</v>
      </c>
      <c r="D13" s="13">
        <f t="shared" si="0"/>
        <v>20</v>
      </c>
    </row>
    <row r="14" spans="1:4" x14ac:dyDescent="0.25">
      <c r="A14" s="14" t="s">
        <v>413</v>
      </c>
      <c r="B14" s="14">
        <f>SUM(B5:B13)</f>
        <v>84</v>
      </c>
      <c r="C14" s="15"/>
      <c r="D14" s="14">
        <f>SUM(D5:D13)</f>
        <v>1680</v>
      </c>
    </row>
    <row r="16" spans="1:4" x14ac:dyDescent="0.25">
      <c r="A16" s="16" t="s">
        <v>414</v>
      </c>
      <c r="B16" s="17">
        <v>2000</v>
      </c>
    </row>
    <row r="17" spans="1:2" x14ac:dyDescent="0.25">
      <c r="A17" s="16" t="s">
        <v>415</v>
      </c>
      <c r="B17" s="16">
        <f>B16-D14</f>
        <v>320</v>
      </c>
    </row>
    <row r="19" spans="1:2" x14ac:dyDescent="0.25">
      <c r="A19" s="16"/>
    </row>
    <row r="20" spans="1:2" x14ac:dyDescent="0.25">
      <c r="A20" s="18" t="s">
        <v>416</v>
      </c>
    </row>
    <row r="21" spans="1:2" x14ac:dyDescent="0.25">
      <c r="A21" s="16" t="s">
        <v>417</v>
      </c>
    </row>
    <row r="22" spans="1:2" x14ac:dyDescent="0.25">
      <c r="A22" s="16" t="s">
        <v>418</v>
      </c>
    </row>
    <row r="23" spans="1:2" x14ac:dyDescent="0.25">
      <c r="A23" s="16" t="s">
        <v>419</v>
      </c>
    </row>
    <row r="24" spans="1:2" x14ac:dyDescent="0.25">
      <c r="A24" s="16"/>
    </row>
    <row r="25" spans="1:2" x14ac:dyDescent="0.25">
      <c r="A25" s="16" t="s">
        <v>420</v>
      </c>
    </row>
    <row r="26" spans="1:2" x14ac:dyDescent="0.25">
      <c r="A26" s="16" t="s">
        <v>421</v>
      </c>
    </row>
    <row r="27" spans="1:2" x14ac:dyDescent="0.25">
      <c r="A27" s="16" t="s">
        <v>422</v>
      </c>
    </row>
    <row r="28" spans="1:2" x14ac:dyDescent="0.25">
      <c r="A28" s="16"/>
    </row>
    <row r="29" spans="1:2" x14ac:dyDescent="0.25">
      <c r="A29" s="16" t="s">
        <v>423</v>
      </c>
    </row>
    <row r="30" spans="1:2" x14ac:dyDescent="0.25">
      <c r="A30" s="16" t="s">
        <v>424</v>
      </c>
    </row>
    <row r="31" spans="1:2" x14ac:dyDescent="0.25">
      <c r="A31" s="16" t="s">
        <v>425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Achievements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DS89 Holdco</cp:lastModifiedBy>
  <dcterms:created xsi:type="dcterms:W3CDTF">2026-08-21T17:39:28Z</dcterms:created>
  <dcterms:modified xsi:type="dcterms:W3CDTF">2026-08-22T15:00:21Z</dcterms:modified>
</cp:coreProperties>
</file>