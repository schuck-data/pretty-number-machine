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Proposal" sheetId="2" state="visible" r:id="rId2"/>
    <sheet name="Distribution" sheetId="3" state="visible" r:id="rId3"/>
    <sheet name="Collisions" sheetId="4" state="visible" r:id="rId4"/>
    <sheet name="UI changes" sheetId="5" state="visible" r:id="rId5"/>
  </sheets>
  <definedNames>
    <definedName name="_xlnm._FilterDatabase" localSheetId="1" hidden="1">'Proposal'!$A$1:$R$107</definedName>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Arial"/>
      <b val="1"/>
      <sz val="14"/>
    </font>
    <font>
      <name val="Arial"/>
      <sz val="10"/>
    </font>
    <font>
      <name val="Arial"/>
      <b val="1"/>
      <sz val="10"/>
    </font>
    <font>
      <name val="Arial"/>
      <i val="1"/>
      <color rgb="00595959"/>
      <sz val="9"/>
    </font>
    <font>
      <name val="Arial"/>
      <b val="1"/>
      <color rgb="00FFFFFF"/>
      <sz val="10"/>
    </font>
    <font>
      <name val="Arial"/>
      <color rgb="000563C1"/>
      <sz val="10"/>
      <u val="single"/>
    </font>
    <font>
      <name val="Arial"/>
      <b val="1"/>
      <color rgb="00C00000"/>
      <sz val="10"/>
    </font>
    <font>
      <name val="Arial"/>
      <b val="1"/>
      <color rgb="00FFFFFF"/>
      <sz val="12"/>
    </font>
    <font>
      <name val="Arial"/>
      <b val="1"/>
      <i val="1"/>
      <sz val="10"/>
    </font>
  </fonts>
  <fills count="8">
    <fill>
      <patternFill/>
    </fill>
    <fill>
      <patternFill patternType="gray125"/>
    </fill>
    <fill>
      <patternFill patternType="solid">
        <fgColor rgb="001F3864"/>
      </patternFill>
    </fill>
    <fill>
      <patternFill patternType="solid">
        <fgColor rgb="00FFC7CE"/>
      </patternFill>
    </fill>
    <fill>
      <patternFill patternType="solid">
        <fgColor rgb="00FFEB9C"/>
      </patternFill>
    </fill>
    <fill>
      <patternFill patternType="solid">
        <fgColor rgb="00FCD5B4"/>
      </patternFill>
    </fill>
    <fill>
      <patternFill patternType="solid">
        <fgColor rgb="00C6EFCE"/>
      </patternFill>
    </fill>
    <fill>
      <patternFill patternType="solid">
        <fgColor rgb="00D9D9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wrapText="1"/>
    </xf>
    <xf numFmtId="0" fontId="3" fillId="0" borderId="0" applyAlignment="1" pivotButton="0" quotePrefix="0" xfId="0">
      <alignment vertical="top" wrapText="1"/>
    </xf>
    <xf numFmtId="0" fontId="5" fillId="2" borderId="0"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6"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2" fillId="3"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0" borderId="0" pivotButton="0" quotePrefix="0" xfId="0"/>
    <xf numFmtId="0" fontId="4" fillId="0" borderId="0" pivotButton="0" quotePrefix="0" xfId="0"/>
    <xf numFmtId="0" fontId="2" fillId="0" borderId="0" pivotButton="0" quotePrefix="0" xfId="0"/>
    <xf numFmtId="0" fontId="1" fillId="0" borderId="0" pivotButton="0" quotePrefix="0" xfId="0"/>
    <xf numFmtId="164" fontId="2" fillId="0" borderId="1" applyAlignment="1" pivotButton="0" quotePrefix="0" xfId="0">
      <alignment vertical="top" wrapText="1"/>
    </xf>
    <xf numFmtId="164" fontId="3" fillId="0" borderId="0" pivotButton="0" quotePrefix="0" xfId="0"/>
    <xf numFmtId="0" fontId="7" fillId="0" borderId="0" pivotButton="0" quotePrefix="0" xfId="0"/>
    <xf numFmtId="0" fontId="5" fillId="2" borderId="0" pivotButton="0" quotePrefix="0" xfId="0"/>
    <xf numFmtId="0" fontId="2" fillId="0" borderId="1" pivotButton="0" quotePrefix="0" xfId="0"/>
    <xf numFmtId="0" fontId="8" fillId="2" borderId="0" pivotButton="0" quotePrefix="0" xfId="0"/>
    <xf numFmtId="0" fontId="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en.wikipedia.org/wiki/Natural_number" TargetMode="External" Id="rId1" /><Relationship Type="http://schemas.openxmlformats.org/officeDocument/2006/relationships/hyperlink" Target="https://en.wikipedia.org/wiki/Phyllotaxis" TargetMode="External" Id="rId2" /><Relationship Type="http://schemas.openxmlformats.org/officeDocument/2006/relationships/hyperlink" Target="https://en.wikipedia.org/wiki/1" TargetMode="External" Id="rId3" /><Relationship Type="http://schemas.openxmlformats.org/officeDocument/2006/relationships/hyperlink" Target="https://en.wikipedia.org/wiki/Empty_set" TargetMode="External" Id="rId4" /><Relationship Type="http://schemas.openxmlformats.org/officeDocument/2006/relationships/hyperlink" Target="https://en.wikipedia.org/wiki/Fibonacci_sequence" TargetMode="External" Id="rId5" /><Relationship Type="http://schemas.openxmlformats.org/officeDocument/2006/relationships/hyperlink" Target="https://en.wikipedia.org/wiki/Lucas_number" TargetMode="External" Id="rId6" /><Relationship Type="http://schemas.openxmlformats.org/officeDocument/2006/relationships/hyperlink" Target="https://en.wikipedia.org/wiki/Perfect_number" TargetMode="External" Id="rId7" /><Relationship Type="http://schemas.openxmlformats.org/officeDocument/2006/relationships/hyperlink" Target="https://en.wikipedia.org/wiki/Twin_prime" TargetMode="External" Id="rId8" /><Relationship Type="http://schemas.openxmlformats.org/officeDocument/2006/relationships/hyperlink" Target="https://en.wikipedia.org/wiki/Cousin_prime" TargetMode="External" Id="rId9" /><Relationship Type="http://schemas.openxmlformats.org/officeDocument/2006/relationships/hyperlink" Target="https://en.wikipedia.org/wiki/Sexy_primes" TargetMode="External" Id="rId10" /><Relationship Type="http://schemas.openxmlformats.org/officeDocument/2006/relationships/hyperlink" Target="https://en.wikipedia.org/wiki/Safe_and_Sophie_Germain_primes" TargetMode="External" Id="rId11" /><Relationship Type="http://schemas.openxmlformats.org/officeDocument/2006/relationships/hyperlink" Target="https://en.wikipedia.org/wiki/Emirp" TargetMode="External" Id="rId12" /><Relationship Type="http://schemas.openxmlformats.org/officeDocument/2006/relationships/hyperlink" Target="https://en.wikipedia.org/wiki/Mersenne_prime" TargetMode="External" Id="rId13" /><Relationship Type="http://schemas.openxmlformats.org/officeDocument/2006/relationships/hyperlink" Target="https://en.wikipedia.org/wiki/Fermat_number" TargetMode="External" Id="rId14" /><Relationship Type="http://schemas.openxmlformats.org/officeDocument/2006/relationships/hyperlink" Target="https://en.wikipedia.org/wiki/Golden_angle" TargetMode="External" Id="rId15" /><Relationship Type="http://schemas.openxmlformats.org/officeDocument/2006/relationships/hyperlink" Target="https://en.wikipedia.org/wiki/Up_to_eleven" TargetMode="External" Id="rId16" /><Relationship Type="http://schemas.openxmlformats.org/officeDocument/2006/relationships/hyperlink" Target="https://en.wikipedia.org/wiki/101_%28number%29" TargetMode="External" Id="rId17" /><Relationship Type="http://schemas.openxmlformats.org/officeDocument/2006/relationships/hyperlink" Target="https://en.wikipedia.org/wiki/Balanced_prime" TargetMode="External" Id="rId18" /><Relationship Type="http://schemas.openxmlformats.org/officeDocument/2006/relationships/hyperlink" Target="https://en.wikipedia.org/wiki/Prime_gap" TargetMode="External" Id="rId19" /><Relationship Type="http://schemas.openxmlformats.org/officeDocument/2006/relationships/hyperlink" Target="https://en.wikipedia.org/wiki/Decimal" TargetMode="External" Id="rId20" /><Relationship Type="http://schemas.openxmlformats.org/officeDocument/2006/relationships/hyperlink" Target="https://en.wikipedia.org/wiki/Super-prime" TargetMode="External" Id="rId21" /><Relationship Type="http://schemas.openxmlformats.org/officeDocument/2006/relationships/hyperlink" Target="https://en.wikipedia.org/wiki/Goldbach%27s_conjecture" TargetMode="External" Id="rId22" /><Relationship Type="http://schemas.openxmlformats.org/officeDocument/2006/relationships/hyperlink" Target="https://en.wikipedia.org/wiki/Collatz_conjecture" TargetMode="External" Id="rId23" /><Relationship Type="http://schemas.openxmlformats.org/officeDocument/2006/relationships/hyperlink" Target="https://en.wikipedia.org/wiki/Prime_number" TargetMode="External" Id="rId24" /><Relationship Type="http://schemas.openxmlformats.org/officeDocument/2006/relationships/hyperlink" Target="https://en.wikipedia.org/wiki/Primes_in_arithmetic_progression" TargetMode="External" Id="rId25" /><Relationship Type="http://schemas.openxmlformats.org/officeDocument/2006/relationships/hyperlink" Target="https://en.wikipedia.org/wiki/Square_number" TargetMode="External" Id="rId26" /><Relationship Type="http://schemas.openxmlformats.org/officeDocument/2006/relationships/hyperlink" Target="https://en.wikipedia.org/wiki/69_%28number%29" TargetMode="External" Id="rId27" /><Relationship Type="http://schemas.openxmlformats.org/officeDocument/2006/relationships/hyperlink" Target="https://en.wikipedia.org/wiki/420_%28cannabis_culture%29" TargetMode="External" Id="rId28" /><Relationship Type="http://schemas.openxmlformats.org/officeDocument/2006/relationships/hyperlink" Target="https://en.wikipedia.org/wiki/Calculator_spelling" TargetMode="External" Id="rId29" /><Relationship Type="http://schemas.openxmlformats.org/officeDocument/2006/relationships/hyperlink" Target="https://en.wikipedia.org/wiki/Catch-22_%28logic%29" TargetMode="External" Id="rId30" /><Relationship Type="http://schemas.openxmlformats.org/officeDocument/2006/relationships/hyperlink" Target="https://en.wikipedia.org/wiki/U.S._Route_66" TargetMode="External" Id="rId31" /><Relationship Type="http://schemas.openxmlformats.org/officeDocument/2006/relationships/hyperlink" Target="https://en.wikipedia.org/wiki/Blackjack" TargetMode="External" Id="rId32" /><Relationship Type="http://schemas.openxmlformats.org/officeDocument/2006/relationships/hyperlink" Target="https://en.wikipedia.org/wiki/Slot_machine" TargetMode="External" Id="rId33" /><Relationship Type="http://schemas.openxmlformats.org/officeDocument/2006/relationships/hyperlink" Target="https://en.wikipedia.org/wiki/57_%28number%29" TargetMode="External" Id="rId34" /><Relationship Type="http://schemas.openxmlformats.org/officeDocument/2006/relationships/hyperlink" Target="https://en.wikipedia.org/wiki/Slurpee" TargetMode="External" Id="rId35" /><Relationship Type="http://schemas.openxmlformats.org/officeDocument/2006/relationships/hyperlink" Target="https://en.wikipedia.org/wiki/Battle_of_Thermopylae" TargetMode="External" Id="rId36" /><Relationship Type="http://schemas.openxmlformats.org/officeDocument/2006/relationships/hyperlink" Target="https://en.wikipedia.org/wiki/Boeing_747" TargetMode="External" Id="rId37" /><Relationship Type="http://schemas.openxmlformats.org/officeDocument/2006/relationships/hyperlink" Target="https://en.wikipedia.org/wiki/Standard_52-card_deck" TargetMode="External" Id="rId38" /><Relationship Type="http://schemas.openxmlformats.org/officeDocument/2006/relationships/hyperlink" Target="https://en.wikipedia.org/wiki/Number_of_the_beast" TargetMode="External" Id="rId39" /><Relationship Type="http://schemas.openxmlformats.org/officeDocument/2006/relationships/hyperlink" Target="https://en.wikipedia.org/wiki/Repdigit" TargetMode="External" Id="rId40" /><Relationship Type="http://schemas.openxmlformats.org/officeDocument/2006/relationships/hyperlink" Target="https://en.wikipedia.org/wiki/7" TargetMode="External" Id="rId41" /><Relationship Type="http://schemas.openxmlformats.org/officeDocument/2006/relationships/hyperlink" Target="https://en.wikipedia.org/wiki/Triskaidekaphobia" TargetMode="External" Id="rId42" /><Relationship Type="http://schemas.openxmlformats.org/officeDocument/2006/relationships/hyperlink" Target="https://en.wikipedia.org/wiki/23_enigma" TargetMode="External" Id="rId43" /><Relationship Type="http://schemas.openxmlformats.org/officeDocument/2006/relationships/hyperlink" Target="https://en.wikipedia.org/wiki/Scottish_Rite" TargetMode="External" Id="rId44" /><Relationship Type="http://schemas.openxmlformats.org/officeDocument/2006/relationships/hyperlink" Target="https://en.wikipedia.org/wiki/Thelema" TargetMode="External" Id="rId45" /><Relationship Type="http://schemas.openxmlformats.org/officeDocument/2006/relationships/hyperlink" Target="https://en.wikipedia.org/wiki/Number_of_the_beast" TargetMode="External" Id="rId46" /><Relationship Type="http://schemas.openxmlformats.org/officeDocument/2006/relationships/hyperlink" Target="https://en.wikipedia.org/wiki/Sabbath" TargetMode="External" Id="rId47" /><Relationship Type="http://schemas.openxmlformats.org/officeDocument/2006/relationships/hyperlink" Target="https://en.wikipedia.org/wiki/Noble_Eightfold_Path" TargetMode="External" Id="rId48" /><Relationship Type="http://schemas.openxmlformats.org/officeDocument/2006/relationships/hyperlink" Target="https://en.wikipedia.org/wiki/Sator_Square" TargetMode="External" Id="rId49" /><Relationship Type="http://schemas.openxmlformats.org/officeDocument/2006/relationships/hyperlink" Target="https://en.wikipedia.org/wiki/Hierarchy_of_angels" TargetMode="External" Id="rId50" /><Relationship Type="http://schemas.openxmlformats.org/officeDocument/2006/relationships/hyperlink" Target="https://en.wikipedia.org/wiki/HTTP_404" TargetMode="External" Id="rId51" /><Relationship Type="http://schemas.openxmlformats.org/officeDocument/2006/relationships/hyperlink" Target="https://en.wikipedia.org/wiki/Hyper_Text_Coffee_Pot_Control_Protocol" TargetMode="External" Id="rId52" /><Relationship Type="http://schemas.openxmlformats.org/officeDocument/2006/relationships/hyperlink" Target="https://en.wikipedia.org/wiki/Fahrenheit_451" TargetMode="External" Id="rId53" /><Relationship Type="http://schemas.openxmlformats.org/officeDocument/2006/relationships/hyperlink" Target="https://en.wikipedia.org/wiki/47_%28number%29" TargetMode="External" Id="rId54" /><Relationship Type="http://schemas.openxmlformats.org/officeDocument/2006/relationships/hyperlink" Target="https://en.wikipedia.org/wiki/Localhost" TargetMode="External" Id="rId55" /><Relationship Type="http://schemas.openxmlformats.org/officeDocument/2006/relationships/hyperlink" Target="https://en.wikipedia.org/wiki/17_%28number%29" TargetMode="External" Id="rId56" /><Relationship Type="http://schemas.openxmlformats.org/officeDocument/2006/relationships/hyperlink" Target="https://en.wikipedia.org/wiki/73_%28number%29" TargetMode="External" Id="rId57" /><Relationship Type="http://schemas.openxmlformats.org/officeDocument/2006/relationships/hyperlink" Target="https://en.wikipedia.org/wiki/A440_%28pitch_standard%29" TargetMode="External" Id="rId58" /><Relationship Type="http://schemas.openxmlformats.org/officeDocument/2006/relationships/hyperlink" Target="https://en.wikipedia.org/wiki/Speed_of_light" TargetMode="External" Id="rId59" /><Relationship Type="http://schemas.openxmlformats.org/officeDocument/2006/relationships/hyperlink" Target="https://en.wikipedia.org/wiki/Conventional_memory" TargetMode="External" Id="rId60" /><Relationship Type="http://schemas.openxmlformats.org/officeDocument/2006/relationships/hyperlink" Target="https://en.wikipedia.org/wiki/Human_skeleton" TargetMode="External" Id="rId61" /><Relationship Type="http://schemas.openxmlformats.org/officeDocument/2006/relationships/hyperlink" Target="https://en.wikipedia.org/wiki/Chromosome" TargetMode="External" Id="rId62" /><Relationship Type="http://schemas.openxmlformats.org/officeDocument/2006/relationships/hyperlink" Target="https://en.wikipedia.org/wiki/Periodic_table" TargetMode="External" Id="rId63" /><Relationship Type="http://schemas.openxmlformats.org/officeDocument/2006/relationships/hyperlink" Target="https://en.wikipedia.org/wiki/Kelvin" TargetMode="External" Id="rId64" /><Relationship Type="http://schemas.openxmlformats.org/officeDocument/2006/relationships/hyperlink" Target="https://en.wikipedia.org/wiki/Human_body_temperature" TargetMode="External" Id="rId65" /><Relationship Type="http://schemas.openxmlformats.org/officeDocument/2006/relationships/hyperlink" Target="https://en.wikipedia.org/wiki/Fahrenheit" TargetMode="External" Id="rId66" /><Relationship Type="http://schemas.openxmlformats.org/officeDocument/2006/relationships/hyperlink" Target="https://en.wikipedia.org/wiki/Tropical_year" TargetMode="External" Id="rId67" /><Relationship Type="http://schemas.openxmlformats.org/officeDocument/2006/relationships/hyperlink" Target="https://en.wikipedia.org/wiki/Leap_year" TargetMode="External" Id="rId68" /><Relationship Type="http://schemas.openxmlformats.org/officeDocument/2006/relationships/hyperlink" Target="https://en.wikipedia.org/wiki/Month" TargetMode="External" Id="rId69" /><Relationship Type="http://schemas.openxmlformats.org/officeDocument/2006/relationships/hyperlink" Target="https://en.wikipedia.org/wiki/Lunar_month" TargetMode="External" Id="rId70" /><Relationship Type="http://schemas.openxmlformats.org/officeDocument/2006/relationships/hyperlink" Target="https://en.wikipedia.org/wiki/Metonic_cycle" TargetMode="External" Id="rId71" /><Relationship Type="http://schemas.openxmlformats.org/officeDocument/2006/relationships/hyperlink" Target="https://en.wikipedia.org/wiki/Week" TargetMode="External" Id="rId72" /><Relationship Type="http://schemas.openxmlformats.org/officeDocument/2006/relationships/hyperlink" Target="https://en.wikipedia.org/wiki/February" TargetMode="External" Id="rId73" /><Relationship Type="http://schemas.openxmlformats.org/officeDocument/2006/relationships/hyperlink" Target="https://en.wikipedia.org/wiki/Gregorian_calendar" TargetMode="External" Id="rId74" /><Relationship Type="http://schemas.openxmlformats.org/officeDocument/2006/relationships/hyperlink" Target="https://en.wikipedia.org/wiki/911_%28emergency_telephone_number%29" TargetMode="External" Id="rId75" /><Relationship Type="http://schemas.openxmlformats.org/officeDocument/2006/relationships/hyperlink" Target="https://en.wikipedia.org/wiki/Fictitious_telephone_number" TargetMode="External" Id="rId76" /><Relationship Type="http://schemas.openxmlformats.org/officeDocument/2006/relationships/hyperlink" Target="https://en.wikipedia.org/wiki/Area_codes_212%2C_646%2C_and_332" TargetMode="External" Id="rId77" /><Relationship Type="http://schemas.openxmlformats.org/officeDocument/2006/relationships/hyperlink" Target="https://en.wikipedia.org/wiki/Area_codes_713%2C_281%2C_832%2C_346%2C_and_621" TargetMode="External" Id="rId78" /><Relationship Type="http://schemas.openxmlformats.org/officeDocument/2006/relationships/hyperlink" Target="https://en.wikipedia.org/wiki/Area_code_901" TargetMode="External" Id="rId79" /><Relationship Type="http://schemas.openxmlformats.org/officeDocument/2006/relationships/hyperlink" Target="https://en.wikipedia.org/wiki/Area_codes_313_and_679" TargetMode="External" Id="rId80" /><Relationship Type="http://schemas.openxmlformats.org/officeDocument/2006/relationships/hyperlink" Target="https://en.wikipedia.org/wiki/Area_codes_305%2C_786%2C_and_645" TargetMode="External" Id="rId81" /><Relationship Type="http://schemas.openxmlformats.org/officeDocument/2006/relationships/hyperlink" Target="https://en.wikipedia.org/wiki/Area_codes_415_and_628" TargetMode="External" Id="rId82" /><Relationship Type="http://schemas.openxmlformats.org/officeDocument/2006/relationships/hyperlink" Target="https://en.wikipedia.org/wiki/Area_code_808" TargetMode="External" Id="rId83" /><Relationship Type="http://schemas.openxmlformats.org/officeDocument/2006/relationships/hyperlink" Target="https://en.wikipedia.org/wiki/Area_code_504" TargetMode="External" Id="rId84" /><Relationship Type="http://schemas.openxmlformats.org/officeDocument/2006/relationships/hyperlink" Target="https://en.wikipedia.org/wiki/Golden_angle" TargetMode="External" Id="rId85" /><Relationship Type="http://schemas.openxmlformats.org/officeDocument/2006/relationships/hyperlink" Target="https://en.wikipedia.org/wiki/Pi" TargetMode="External" Id="rId86" /><Relationship Type="http://schemas.openxmlformats.org/officeDocument/2006/relationships/hyperlink" Target="https://en.wikipedia.org/wiki/Tau_%28mathematics%29" TargetMode="External" Id="rId87" /><Relationship Type="http://schemas.openxmlformats.org/officeDocument/2006/relationships/hyperlink" Target="https://en.wikipedia.org/wiki/1" TargetMode="External" Id="rId88" /><Relationship Type="http://schemas.openxmlformats.org/officeDocument/2006/relationships/hyperlink" Target="https://en.wikipedia.org/wiki/Fundamental_theorem_of_arithmetic" TargetMode="External" Id="rId89" /></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6" customWidth="1" min="1" max="1"/>
    <col width="95" customWidth="1" min="2" max="2"/>
  </cols>
  <sheetData>
    <row r="1">
      <c r="A1" s="1" t="inlineStr">
        <is>
          <t>Pretty Number Machine - achievements v7 proposal</t>
        </is>
      </c>
      <c r="B1" s="2" t="n"/>
    </row>
    <row r="2">
      <c r="A2" s="3" t="inlineStr">
        <is>
          <t>Generated from the live achievements-data.js, not from achievements-v6.xlsx.</t>
        </is>
      </c>
      <c r="B2" s="2" t="n"/>
    </row>
    <row r="3">
      <c r="A3" s="2" t="inlineStr"/>
      <c r="B3" s="2" t="n"/>
    </row>
    <row r="4">
      <c r="A4" s="4" t="inlineStr">
        <is>
          <t>What this is</t>
        </is>
      </c>
      <c r="B4" s="2" t="n"/>
    </row>
    <row r="5">
      <c r="A5" s="2" t="inlineStr">
        <is>
          <t>All 101 current achievements plus 5 proposed additions, assessed against the design rubric below. Nothing here is implemented - this is the sheet to argue with.</t>
        </is>
      </c>
      <c r="B5" s="2" t="n"/>
    </row>
    <row r="6">
      <c r="A6" s="2" t="inlineStr"/>
      <c r="B6" s="2" t="n"/>
    </row>
    <row r="7">
      <c r="A7" s="4" t="inlineStr">
        <is>
          <t>The rubric</t>
        </is>
      </c>
      <c r="B7" s="2" t="n"/>
    </row>
    <row r="8">
      <c r="A8" s="4" t="inlineStr">
        <is>
          <t>1. Never tax a player for lack of education.</t>
        </is>
      </c>
      <c r="B8" s="2" t="inlineStr">
        <is>
          <t>Insider knowledge may be REWARDED but must never be REQUIRED. A clue that only a specialist can enter is a wall, not a puzzle.</t>
        </is>
      </c>
    </row>
    <row r="9">
      <c r="A9" s="4" t="inlineStr">
        <is>
          <t>2. The payoff must be an 'ahhh', not a 'huh, yeah I guess'.</t>
        </is>
      </c>
      <c r="B9" s="2" t="inlineStr">
        <is>
          <t>In practice this means the nodes that light up should not be the nodes you tapped. Selecting {2,3,37} and watching 666 assemble is the app teaching you what factorisation feels like. Selecting {5,53} and lighting 5 and 53 teaches nothing.</t>
        </is>
      </c>
    </row>
    <row r="10">
      <c r="A10" s="4" t="inlineStr">
        <is>
          <t>3. The clue must actually help.</t>
        </is>
      </c>
      <c r="B10" s="2" t="inlineStr">
        <is>
          <t>It may disguise; it may not merely withhold. Afrit's dictum, already in ACHIEVEMENTS.md §4 - the change here is applying it to the ones that were leaning on the locked-row preview that got cut.</t>
        </is>
      </c>
    </row>
    <row r="11">
      <c r="A11" s="4" t="inlineStr">
        <is>
          <t>4. Some are just for funsies.</t>
        </is>
      </c>
      <c r="B11" s="2" t="inlineStr">
        <is>
          <t>A single-node joke whose payoff is recognition is fine and does not need a pattern.</t>
        </is>
      </c>
    </row>
    <row r="12">
      <c r="A12" s="2" t="inlineStr"/>
      <c r="B12" s="2" t="n"/>
    </row>
    <row r="13">
      <c r="A13" s="4" t="inlineStr">
        <is>
          <t>Status column</t>
        </is>
      </c>
      <c r="B13" s="2" t="n"/>
    </row>
    <row r="14">
      <c r="A14" s="4" t="inlineStr">
        <is>
          <t>KEEP</t>
        </is>
      </c>
      <c r="B14" s="2" t="inlineStr">
        <is>
          <t>No change proposed.</t>
        </is>
      </c>
    </row>
    <row r="15">
      <c r="A15" s="4" t="inlineStr">
        <is>
          <t>FIX-CLUE</t>
        </is>
      </c>
      <c r="B15" s="2" t="inlineStr">
        <is>
          <t>Trigger and gild stand; the clue does not get a player in. See 'Proposed clue'.</t>
        </is>
      </c>
    </row>
    <row r="16">
      <c r="A16" s="4" t="inlineStr">
        <is>
          <t>FIX-GILD</t>
        </is>
      </c>
      <c r="B16" s="2" t="inlineStr">
        <is>
          <t>Trigger and clue stand; the payoff is flat. See 'Proposed gild'. Costs no slot.</t>
        </is>
      </c>
    </row>
    <row r="17">
      <c r="A17" s="4" t="inlineStr">
        <is>
          <t>DROP</t>
        </is>
      </c>
      <c r="B17" s="2" t="inlineStr">
        <is>
          <t>Recommended cut. Funds an addition - see 'Pays for'.</t>
        </is>
      </c>
    </row>
    <row r="18">
      <c r="A18" s="4" t="inlineStr">
        <is>
          <t>REVIEW</t>
        </is>
      </c>
      <c r="B18" s="2" t="inlineStr">
        <is>
          <t>Genuinely your call. The trade-off is stated in Notes; I have not picked a side.</t>
        </is>
      </c>
    </row>
    <row r="19">
      <c r="A19" s="4" t="inlineStr">
        <is>
          <t>NEW</t>
        </is>
      </c>
      <c r="B19" s="2" t="inlineStr">
        <is>
          <t>Proposed addition, accepted.</t>
        </is>
      </c>
    </row>
    <row r="20">
      <c r="A20" s="4" t="inlineStr">
        <is>
          <t>REJECTED</t>
        </is>
      </c>
      <c r="B20" s="2" t="inlineStr">
        <is>
          <t>Proposed addition you turned down. Kept in the sheet as a record of the decision.</t>
        </is>
      </c>
    </row>
    <row r="21">
      <c r="A21" s="2" t="inlineStr"/>
      <c r="B21" s="2" t="n"/>
    </row>
    <row r="22">
      <c r="A22" s="4" t="inlineStr">
        <is>
          <t>Column 'In A?'</t>
        </is>
      </c>
      <c r="B22" s="2" t="n"/>
    </row>
    <row r="23">
      <c r="A23" s="4" t="inlineStr">
        <is>
          <t>Scenario A</t>
        </is>
      </c>
      <c r="B23" s="2" t="inlineStr">
        <is>
          <t>Y = in the proposed list. REVISED after your first pass: GALLERY! accepted, DOUBLING! and THIRD! rejected. That makes 3 additions against 2 drops, so the list currently reads 102 and needs one more drop - see DECISION NEEDED on the Distribution tab. Everything marked REVIEW is still Y; it stays unless you say otherwise.</t>
        </is>
      </c>
    </row>
    <row r="24">
      <c r="A24" s="2" t="inlineStr"/>
      <c r="B24" s="2" t="n"/>
    </row>
    <row r="25">
      <c r="A25" s="4" t="inlineStr">
        <is>
          <t>Reading order</t>
        </is>
      </c>
      <c r="B25" s="2" t="n"/>
    </row>
    <row r="26">
      <c r="A26" s="4" t="inlineStr">
        <is>
          <t>Distribution</t>
        </is>
      </c>
      <c r="B26" s="2" t="inlineStr">
        <is>
          <t>Start here if you only read one tab. Cluster balance, current vs proposed, and the argument about Dial.</t>
        </is>
      </c>
    </row>
    <row r="27">
      <c r="A27" s="4" t="inlineStr">
        <is>
          <t>Proposal</t>
        </is>
      </c>
      <c r="B27" s="2" t="inlineStr">
        <is>
          <t>The full 106-row table, now with a verified 'Proposed link' column.</t>
        </is>
      </c>
    </row>
    <row r="28">
      <c r="A28" s="4" t="inlineStr">
        <is>
          <t>UI changes</t>
        </is>
      </c>
      <c r="B28" s="2" t="inlineStr">
        <is>
          <t>The three asks that are not per-achievement data: showing criteria on unlock, the trophy-room-on-tap question, and how links should be stored.</t>
        </is>
      </c>
    </row>
    <row r="29">
      <c r="A29" s="4" t="inlineStr">
        <is>
          <t>Collisions</t>
        </is>
      </c>
      <c r="B29" s="2" t="inlineStr">
        <is>
          <t>A correctness bug found while reviewing, unrelated to your rubric but worth fixing in the same pass.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15" customWidth="1" min="3" max="3"/>
    <col width="9" customWidth="1" min="4" max="4"/>
    <col width="10" customWidth="1" min="5" max="5"/>
    <col width="10" customWidth="1" min="6" max="6"/>
    <col width="6" customWidth="1" min="7" max="7"/>
    <col width="14" customWidth="1" min="8" max="8"/>
    <col width="26" customWidth="1" min="9" max="9"/>
    <col width="26" customWidth="1" min="10" max="10"/>
    <col width="26" customWidth="1" min="11" max="11"/>
    <col width="24" customWidth="1" min="12" max="12"/>
    <col width="30" customWidth="1" min="13" max="13"/>
    <col width="11" customWidth="1" min="14" max="14"/>
    <col width="8" customWidth="1" min="15" max="15"/>
    <col width="22" customWidth="1" min="16" max="16"/>
    <col width="30" customWidth="1" min="17" max="17"/>
    <col width="78" customWidth="1" min="18" max="18"/>
  </cols>
  <sheetData>
    <row r="1" ht="30" customHeight="1">
      <c r="A1" s="5" t="inlineStr">
        <is>
          <t>No</t>
        </is>
      </c>
      <c r="B1" s="5" t="inlineStr">
        <is>
          <t>ID</t>
        </is>
      </c>
      <c r="C1" s="5" t="inlineStr">
        <is>
          <t>Name</t>
        </is>
      </c>
      <c r="D1" s="5" t="inlineStr">
        <is>
          <t>Branch</t>
        </is>
      </c>
      <c r="E1" s="5" t="inlineStr">
        <is>
          <t>Cluster</t>
        </is>
      </c>
      <c r="F1" s="5" t="inlineStr">
        <is>
          <t>Status</t>
        </is>
      </c>
      <c r="G1" s="5" t="inlineStr">
        <is>
          <t>In A?</t>
        </is>
      </c>
      <c r="H1" s="5" t="inlineStr">
        <is>
          <t>Pays for</t>
        </is>
      </c>
      <c r="I1" s="5" t="inlineStr">
        <is>
          <t>Trigger now</t>
        </is>
      </c>
      <c r="J1" s="5" t="inlineStr">
        <is>
          <t>Clue now</t>
        </is>
      </c>
      <c r="K1" s="5" t="inlineStr">
        <is>
          <t>Proposed clue</t>
        </is>
      </c>
      <c r="L1" s="5" t="inlineStr">
        <is>
          <t>Gild now</t>
        </is>
      </c>
      <c r="M1" s="5" t="inlineStr">
        <is>
          <t>Proposed gild</t>
        </is>
      </c>
      <c r="N1" s="5" t="inlineStr">
        <is>
          <t>Payoff</t>
        </is>
      </c>
      <c r="O1" s="5" t="inlineStr">
        <is>
          <t>Newbie route</t>
        </is>
      </c>
      <c r="P1" s="5" t="inlineStr">
        <is>
          <t>Collision</t>
        </is>
      </c>
      <c r="Q1" s="5" t="inlineStr">
        <is>
          <t>Proposed link</t>
        </is>
      </c>
      <c r="R1" s="5" t="inlineStr">
        <is>
          <t>Notes / reasoning</t>
        </is>
      </c>
    </row>
    <row r="2">
      <c r="A2" s="6" t="n">
        <v>1</v>
      </c>
      <c r="B2" s="6" t="inlineStr">
        <is>
          <t>first</t>
        </is>
      </c>
      <c r="C2" s="6" t="inlineStr">
        <is>
          <t>FIRST!</t>
        </is>
      </c>
      <c r="D2" s="6" t="inlineStr">
        <is>
          <t>Tutorial</t>
        </is>
      </c>
      <c r="E2" s="6" t="inlineStr">
        <is>
          <t>Tutorial</t>
        </is>
      </c>
      <c r="F2" s="7" t="inlineStr">
        <is>
          <t>KEEP</t>
        </is>
      </c>
      <c r="G2" s="6" t="inlineStr">
        <is>
          <t>Y</t>
        </is>
      </c>
      <c r="H2" s="6" t="inlineStr"/>
      <c r="I2" s="6" t="inlineStr">
        <is>
          <t>dom</t>
        </is>
      </c>
      <c r="J2" s="6" t="inlineStr">
        <is>
          <t>-switch it on-</t>
        </is>
      </c>
      <c r="K2" s="6" t="inlineStr"/>
      <c r="L2" s="6" t="inlineStr">
        <is>
          <t>2</t>
        </is>
      </c>
      <c r="M2" s="6" t="inlineStr"/>
      <c r="N2" s="6" t="inlineStr">
        <is>
          <t>Joke</t>
        </is>
      </c>
      <c r="O2" s="6" t="inlineStr">
        <is>
          <t>Open</t>
        </is>
      </c>
      <c r="P2" s="6" t="inlineStr"/>
      <c r="Q2" s="6" t="inlineStr"/>
      <c r="R2" s="6" t="inlineStr">
        <is>
          <t>The on-ramp. Nothing to change.</t>
        </is>
      </c>
    </row>
    <row r="3">
      <c r="A3" s="6" t="n">
        <v>2</v>
      </c>
      <c r="B3" s="6" t="inlineStr">
        <is>
          <t>exhaustive</t>
        </is>
      </c>
      <c r="C3" s="6" t="inlineStr">
        <is>
          <t>EXHAUSTIVE!</t>
        </is>
      </c>
      <c r="D3" s="6" t="inlineStr">
        <is>
          <t>Tutorial</t>
        </is>
      </c>
      <c r="E3" s="6" t="inlineStr">
        <is>
          <t>Tutorial</t>
        </is>
      </c>
      <c r="F3" s="7" t="inlineStr">
        <is>
          <t>KEEP</t>
        </is>
      </c>
      <c r="G3" s="6" t="inlineStr">
        <is>
          <t>Y</t>
        </is>
      </c>
      <c r="H3" s="6" t="inlineStr"/>
      <c r="I3" s="6" t="inlineStr">
        <is>
          <t>dom</t>
        </is>
      </c>
      <c r="J3" s="6" t="inlineStr">
        <is>
          <t>-show the ones in between-</t>
        </is>
      </c>
      <c r="K3" s="6" t="inlineStr"/>
      <c r="L3" s="6" t="inlineStr">
        <is>
          <t>1000</t>
        </is>
      </c>
      <c r="M3" s="6" t="inlineStr"/>
      <c r="N3" s="6" t="inlineStr">
        <is>
          <t>Pattern</t>
        </is>
      </c>
      <c r="O3" s="6" t="inlineStr">
        <is>
          <t>Open</t>
        </is>
      </c>
      <c r="P3" s="6" t="inlineStr"/>
      <c r="Q3" s="8" t="inlineStr">
        <is>
          <t>Natural number</t>
        </is>
      </c>
      <c r="R3" s="6" t="inlineStr">
        <is>
          <t>Teaches the dark field, which every later gild depends on being able to see.</t>
        </is>
      </c>
    </row>
    <row r="4">
      <c r="A4" s="6" t="n">
        <v>3</v>
      </c>
      <c r="B4" s="6" t="inlineStr">
        <is>
          <t>parawhat</t>
        </is>
      </c>
      <c r="C4" s="6" t="inlineStr">
        <is>
          <t>PARAWHAT?!</t>
        </is>
      </c>
      <c r="D4" s="6" t="inlineStr">
        <is>
          <t>Tutorial</t>
        </is>
      </c>
      <c r="E4" s="6" t="inlineStr">
        <is>
          <t>Tutorial</t>
        </is>
      </c>
      <c r="F4" s="7" t="inlineStr">
        <is>
          <t>KEEP</t>
        </is>
      </c>
      <c r="G4" s="6" t="inlineStr">
        <is>
          <t>Y</t>
        </is>
      </c>
      <c r="H4" s="6" t="inlineStr"/>
      <c r="I4" s="6" t="inlineStr">
        <is>
          <t>dom</t>
        </is>
      </c>
      <c r="J4" s="6" t="inlineStr">
        <is>
          <t>-pe-RAS-te-kee-</t>
        </is>
      </c>
      <c r="K4" s="6" t="inlineStr"/>
      <c r="L4" s="6" t="inlineStr">
        <is>
          <t>34, 55</t>
        </is>
      </c>
      <c r="M4" s="6" t="inlineStr"/>
      <c r="N4" s="6" t="inlineStr">
        <is>
          <t>New nodes</t>
        </is>
      </c>
      <c r="O4" s="6" t="inlineStr">
        <is>
          <t>Open</t>
        </is>
      </c>
      <c r="P4" s="6" t="inlineStr"/>
      <c r="Q4" s="8" t="inlineStr">
        <is>
          <t>Phyllotaxis</t>
        </is>
      </c>
      <c r="R4" s="6" t="inlineStr">
        <is>
          <t>Gilds 34 and 55 - a quiet Fibonacci wink long before FIBONACCI! exists.</t>
        </is>
      </c>
    </row>
    <row r="5">
      <c r="A5" s="6" t="n">
        <v>4</v>
      </c>
      <c r="B5" s="6" t="inlineStr">
        <is>
          <t>art</t>
        </is>
      </c>
      <c r="C5" s="6" t="inlineStr">
        <is>
          <t>ART!</t>
        </is>
      </c>
      <c r="D5" s="6" t="inlineStr">
        <is>
          <t>Tutorial</t>
        </is>
      </c>
      <c r="E5" s="6" t="inlineStr">
        <is>
          <t>Tutorial</t>
        </is>
      </c>
      <c r="F5" s="7" t="inlineStr">
        <is>
          <t>KEEP</t>
        </is>
      </c>
      <c r="G5" s="6" t="inlineStr">
        <is>
          <t>Y</t>
        </is>
      </c>
      <c r="H5" s="6" t="inlineStr"/>
      <c r="I5" s="6" t="inlineStr">
        <is>
          <t>dom</t>
        </is>
      </c>
      <c r="J5" s="6" t="inlineStr">
        <is>
          <t>-change how it looks, not what it is-</t>
        </is>
      </c>
      <c r="K5" s="6" t="inlineStr"/>
      <c r="L5" s="6" t="inlineStr">
        <is>
          <t>433</t>
        </is>
      </c>
      <c r="M5" s="6" t="inlineStr"/>
      <c r="N5" s="6" t="inlineStr">
        <is>
          <t>Joke</t>
        </is>
      </c>
      <c r="O5" s="6" t="inlineStr">
        <is>
          <t>Open</t>
        </is>
      </c>
      <c r="P5" s="6" t="inlineStr"/>
      <c r="Q5" s="6" t="inlineStr"/>
      <c r="R5" s="6" t="inlineStr"/>
    </row>
    <row r="6">
      <c r="A6" s="6" t="n">
        <v>5</v>
      </c>
      <c r="B6" s="6" t="inlineStr">
        <is>
          <t>bophades</t>
        </is>
      </c>
      <c r="C6" s="6" t="inlineStr">
        <is>
          <t>ORBS!</t>
        </is>
      </c>
      <c r="D6" s="6" t="inlineStr">
        <is>
          <t>Tutorial</t>
        </is>
      </c>
      <c r="E6" s="6" t="inlineStr">
        <is>
          <t>Tutorial</t>
        </is>
      </c>
      <c r="F6" s="7" t="inlineStr">
        <is>
          <t>KEEP</t>
        </is>
      </c>
      <c r="G6" s="6" t="inlineStr">
        <is>
          <t>Y</t>
        </is>
      </c>
      <c r="H6" s="6" t="inlineStr"/>
      <c r="I6" s="6" t="inlineStr">
        <is>
          <t>dom</t>
        </is>
      </c>
      <c r="J6" s="6" t="inlineStr">
        <is>
          <t>-so big-</t>
        </is>
      </c>
      <c r="K6" s="6" t="inlineStr"/>
      <c r="L6" s="6" t="inlineStr">
        <is>
          <t>8</t>
        </is>
      </c>
      <c r="M6" s="6" t="inlineStr"/>
      <c r="N6" s="6" t="inlineStr">
        <is>
          <t>Joke</t>
        </is>
      </c>
      <c r="O6" s="6" t="inlineStr">
        <is>
          <t>Open</t>
        </is>
      </c>
      <c r="P6" s="6" t="inlineStr"/>
      <c r="Q6" s="6" t="inlineStr"/>
      <c r="R6" s="6" t="inlineStr"/>
    </row>
    <row r="7">
      <c r="A7" s="6" t="n">
        <v>6</v>
      </c>
      <c r="B7" s="6" t="inlineStr">
        <is>
          <t>maximalist</t>
        </is>
      </c>
      <c r="C7" s="6" t="inlineStr">
        <is>
          <t>MAXIMALIST!</t>
        </is>
      </c>
      <c r="D7" s="6" t="inlineStr">
        <is>
          <t>Tutorial</t>
        </is>
      </c>
      <c r="E7" s="6" t="inlineStr">
        <is>
          <t>Tutorial</t>
        </is>
      </c>
      <c r="F7" s="7" t="inlineStr">
        <is>
          <t>KEEP</t>
        </is>
      </c>
      <c r="G7" s="6" t="inlineStr">
        <is>
          <t>Y</t>
        </is>
      </c>
      <c r="H7" s="6" t="inlineStr"/>
      <c r="I7" s="6" t="inlineStr">
        <is>
          <t>dom</t>
        </is>
      </c>
      <c r="J7" s="6" t="inlineStr">
        <is>
          <t>-push the slider all the way-</t>
        </is>
      </c>
      <c r="K7" s="6" t="inlineStr"/>
      <c r="L7" s="6" t="inlineStr">
        <is>
          <t>999</t>
        </is>
      </c>
      <c r="M7" s="6" t="inlineStr"/>
      <c r="N7" s="6" t="inlineStr">
        <is>
          <t>Joke</t>
        </is>
      </c>
      <c r="O7" s="6" t="inlineStr">
        <is>
          <t>Open</t>
        </is>
      </c>
      <c r="P7" s="6" t="inlineStr"/>
      <c r="Q7" s="6" t="inlineStr"/>
      <c r="R7" s="6" t="inlineStr">
        <is>
          <t>The slider-to-max lesson. Does CEILING!’s job without the cost.</t>
        </is>
      </c>
    </row>
    <row r="8">
      <c r="A8" s="6" t="n">
        <v>7</v>
      </c>
      <c r="B8" s="6" t="inlineStr">
        <is>
          <t>ceiling</t>
        </is>
      </c>
      <c r="C8" s="6" t="inlineStr">
        <is>
          <t>CEILING!</t>
        </is>
      </c>
      <c r="D8" s="6" t="inlineStr">
        <is>
          <t>Tutorial</t>
        </is>
      </c>
      <c r="E8" s="6" t="inlineStr">
        <is>
          <t>Tutorial</t>
        </is>
      </c>
      <c r="F8" s="9" t="inlineStr">
        <is>
          <t>DROP</t>
        </is>
      </c>
      <c r="G8" s="6" t="inlineStr">
        <is>
          <t>N</t>
        </is>
      </c>
      <c r="H8" s="6" t="inlineStr">
        <is>
          <t>DECOMPOSE!</t>
        </is>
      </c>
      <c r="I8" s="6" t="inlineStr">
        <is>
          <t>state</t>
        </is>
      </c>
      <c r="J8" s="6" t="inlineStr">
        <is>
          <t>-the slider was lying-</t>
        </is>
      </c>
      <c r="K8" s="6" t="inlineStr"/>
      <c r="L8" s="6" t="inlineStr">
        <is>
          <t>997</t>
        </is>
      </c>
      <c r="M8" s="6" t="inlineStr"/>
      <c r="N8" s="6" t="inlineStr">
        <is>
          <t>Joke</t>
        </is>
      </c>
      <c r="O8" s="6" t="inlineStr">
        <is>
          <t>Open</t>
        </is>
      </c>
      <c r="P8" s="6" t="inlineStr"/>
      <c r="Q8" s="6" t="inlineStr"/>
      <c r="R8" s="6" t="inlineStr">
        <is>
          <t>Duplicates MAXIMALIST! - both are "push the slider further". Only configuration in the app that falls below refresh cap: 26.7 fps on a Pixel 7 (ACHIEVEMENTS.md §9). Its own blurb is "Okay let’s not break your phone", so the tutorial is rewarding degradation of the app. Frees the slot for DECOMPOSE!.</t>
        </is>
      </c>
    </row>
    <row r="9">
      <c r="A9" s="6" t="n">
        <v>8</v>
      </c>
      <c r="B9" s="6" t="inlineStr">
        <is>
          <t>zoomies</t>
        </is>
      </c>
      <c r="C9" s="6" t="inlineStr">
        <is>
          <t>ZOOMIES!</t>
        </is>
      </c>
      <c r="D9" s="6" t="inlineStr">
        <is>
          <t>Tutorial</t>
        </is>
      </c>
      <c r="E9" s="6" t="inlineStr">
        <is>
          <t>Tutorial</t>
        </is>
      </c>
      <c r="F9" s="7" t="inlineStr">
        <is>
          <t>KEEP</t>
        </is>
      </c>
      <c r="G9" s="6" t="inlineStr">
        <is>
          <t>Y</t>
        </is>
      </c>
      <c r="H9" s="6" t="inlineStr"/>
      <c r="I9" s="6" t="inlineStr">
        <is>
          <t>state</t>
        </is>
      </c>
      <c r="J9" s="6" t="inlineStr">
        <is>
          <t>-faster, all the way-</t>
        </is>
      </c>
      <c r="K9" s="6" t="inlineStr"/>
      <c r="L9" s="6" t="inlineStr">
        <is>
          <t>88, 121</t>
        </is>
      </c>
      <c r="M9" s="6" t="inlineStr"/>
      <c r="N9" s="6" t="inlineStr">
        <is>
          <t>Joke</t>
        </is>
      </c>
      <c r="O9" s="6" t="inlineStr">
        <is>
          <t>Open</t>
        </is>
      </c>
      <c r="P9" s="6" t="inlineStr"/>
      <c r="Q9" s="6" t="inlineStr"/>
      <c r="R9" s="6" t="inlineStr"/>
    </row>
    <row r="10">
      <c r="A10" s="6" t="n">
        <v>9</v>
      </c>
      <c r="B10" s="6" t="inlineStr">
        <is>
          <t>boing</t>
        </is>
      </c>
      <c r="C10" s="6" t="inlineStr">
        <is>
          <t>BOING!</t>
        </is>
      </c>
      <c r="D10" s="6" t="inlineStr">
        <is>
          <t>Tutorial</t>
        </is>
      </c>
      <c r="E10" s="6" t="inlineStr">
        <is>
          <t>Tutorial</t>
        </is>
      </c>
      <c r="F10" s="7" t="inlineStr">
        <is>
          <t>KEEP</t>
        </is>
      </c>
      <c r="G10" s="6" t="inlineStr">
        <is>
          <t>Y</t>
        </is>
      </c>
      <c r="H10" s="6" t="inlineStr"/>
      <c r="I10" s="6" t="inlineStr">
        <is>
          <t>sampled</t>
        </is>
      </c>
      <c r="J10" s="6" t="inlineStr">
        <is>
          <t>-wait for the bottom-</t>
        </is>
      </c>
      <c r="K10" s="6" t="inlineStr"/>
      <c r="L10" s="6" t="inlineStr">
        <is>
          <t>6</t>
        </is>
      </c>
      <c r="M10" s="6" t="inlineStr"/>
      <c r="N10" s="6" t="inlineStr">
        <is>
          <t>Joke</t>
        </is>
      </c>
      <c r="O10" s="6" t="inlineStr">
        <is>
          <t>Open</t>
        </is>
      </c>
      <c r="P10" s="6" t="inlineStr"/>
      <c r="Q10" s="6" t="inlineStr"/>
      <c r="R10" s="6" t="inlineStr"/>
    </row>
    <row r="11">
      <c r="A11" s="6" t="n">
        <v>10</v>
      </c>
      <c r="B11" s="6" t="inlineStr">
        <is>
          <t>trippy</t>
        </is>
      </c>
      <c r="C11" s="6" t="inlineStr">
        <is>
          <t>TRIPPY!</t>
        </is>
      </c>
      <c r="D11" s="6" t="inlineStr">
        <is>
          <t>Tutorial</t>
        </is>
      </c>
      <c r="E11" s="6" t="inlineStr">
        <is>
          <t>Tutorial</t>
        </is>
      </c>
      <c r="F11" s="7" t="inlineStr">
        <is>
          <t>KEEP</t>
        </is>
      </c>
      <c r="G11" s="6" t="inlineStr">
        <is>
          <t>Y</t>
        </is>
      </c>
      <c r="H11" s="6" t="inlineStr"/>
      <c r="I11" s="6" t="inlineStr">
        <is>
          <t>dom</t>
        </is>
      </c>
      <c r="J11" s="6" t="inlineStr">
        <is>
          <t>-there is a button for this-</t>
        </is>
      </c>
      <c r="K11" s="6" t="inlineStr"/>
      <c r="L11" s="6" t="inlineStr">
        <is>
          <t>815</t>
        </is>
      </c>
      <c r="M11" s="6" t="inlineStr"/>
      <c r="N11" s="6" t="inlineStr">
        <is>
          <t>Joke</t>
        </is>
      </c>
      <c r="O11" s="6" t="inlineStr">
        <is>
          <t>Open</t>
        </is>
      </c>
      <c r="P11" s="6" t="inlineStr"/>
      <c r="Q11" s="6" t="inlineStr"/>
      <c r="R11" s="6" t="inlineStr"/>
    </row>
    <row r="12">
      <c r="A12" s="6" t="n">
        <v>11</v>
      </c>
      <c r="B12" s="6" t="inlineStr">
        <is>
          <t>nerd</t>
        </is>
      </c>
      <c r="C12" s="6" t="inlineStr">
        <is>
          <t>NERD!</t>
        </is>
      </c>
      <c r="D12" s="6" t="inlineStr">
        <is>
          <t>Tutorial</t>
        </is>
      </c>
      <c r="E12" s="6" t="inlineStr">
        <is>
          <t>Tutorial</t>
        </is>
      </c>
      <c r="F12" s="7" t="inlineStr">
        <is>
          <t>KEEP</t>
        </is>
      </c>
      <c r="G12" s="6" t="inlineStr">
        <is>
          <t>Y</t>
        </is>
      </c>
      <c r="H12" s="6" t="inlineStr"/>
      <c r="I12" s="6" t="inlineStr">
        <is>
          <t>state</t>
        </is>
      </c>
      <c r="J12" s="6" t="inlineStr">
        <is>
          <t>-drag the classroom across-</t>
        </is>
      </c>
      <c r="K12" s="6" t="inlineStr"/>
      <c r="L12" s="6" t="inlineStr">
        <is>
          <t>42</t>
        </is>
      </c>
      <c r="M12" s="6" t="inlineStr"/>
      <c r="N12" s="6" t="inlineStr">
        <is>
          <t>Joke</t>
        </is>
      </c>
      <c r="O12" s="6" t="inlineStr">
        <is>
          <t>Open</t>
        </is>
      </c>
      <c r="P12" s="6" t="inlineStr"/>
      <c r="Q12" s="6" t="inlineStr"/>
      <c r="R12" s="6" t="inlineStr">
        <is>
          <t>Rewards OPENING the lens only. Tapping a node - the thing the lens exists for - goes unrewarded today. DECOMPOSE! is the second half of this, not a duplicate of it.</t>
        </is>
      </c>
    </row>
    <row r="13">
      <c r="A13" s="6" t="n">
        <v>12</v>
      </c>
      <c r="B13" s="6" t="inlineStr">
        <is>
          <t>ouch</t>
        </is>
      </c>
      <c r="C13" s="6" t="inlineStr">
        <is>
          <t>OUCH!</t>
        </is>
      </c>
      <c r="D13" s="6" t="inlineStr">
        <is>
          <t>Tutorial</t>
        </is>
      </c>
      <c r="E13" s="6" t="inlineStr">
        <is>
          <t>Tutorial</t>
        </is>
      </c>
      <c r="F13" s="7" t="inlineStr">
        <is>
          <t>KEEP</t>
        </is>
      </c>
      <c r="G13" s="6" t="inlineStr">
        <is>
          <t>Y</t>
        </is>
      </c>
      <c r="H13" s="6" t="inlineStr"/>
      <c r="I13" s="6" t="inlineStr">
        <is>
          <t>event</t>
        </is>
      </c>
      <c r="J13" s="6" t="inlineStr">
        <is>
          <t>-take hold of the Sun-</t>
        </is>
      </c>
      <c r="K13" s="6" t="inlineStr"/>
      <c r="L13" s="6" t="inlineStr">
        <is>
          <t>149</t>
        </is>
      </c>
      <c r="M13" s="6" t="inlineStr"/>
      <c r="N13" s="6" t="inlineStr">
        <is>
          <t>Joke</t>
        </is>
      </c>
      <c r="O13" s="6" t="inlineStr">
        <is>
          <t>Open</t>
        </is>
      </c>
      <c r="P13" s="6" t="inlineStr"/>
      <c r="Q13" s="6" t="inlineStr"/>
      <c r="R13" s="6" t="inlineStr"/>
    </row>
    <row r="14">
      <c r="A14" s="6" t="n">
        <v>13</v>
      </c>
      <c r="B14" s="6" t="inlineStr">
        <is>
          <t>oops</t>
        </is>
      </c>
      <c r="C14" s="6" t="inlineStr">
        <is>
          <t>OOPS!</t>
        </is>
      </c>
      <c r="D14" s="6" t="inlineStr">
        <is>
          <t>Tutorial</t>
        </is>
      </c>
      <c r="E14" s="6" t="inlineStr">
        <is>
          <t>Tutorial</t>
        </is>
      </c>
      <c r="F14" s="7" t="inlineStr">
        <is>
          <t>KEEP</t>
        </is>
      </c>
      <c r="G14" s="6" t="inlineStr">
        <is>
          <t>Y</t>
        </is>
      </c>
      <c r="H14" s="6" t="inlineStr"/>
      <c r="I14" s="6" t="inlineStr">
        <is>
          <t>sampled</t>
        </is>
      </c>
      <c r="J14" s="6" t="inlineStr">
        <is>
          <t>-make the springs disagree-</t>
        </is>
      </c>
      <c r="K14" s="6" t="inlineStr"/>
      <c r="L14" s="6" t="inlineStr">
        <is>
          <t>641</t>
        </is>
      </c>
      <c r="M14" s="6" t="inlineStr"/>
      <c r="N14" s="6" t="inlineStr">
        <is>
          <t>Joke</t>
        </is>
      </c>
      <c r="O14" s="6" t="inlineStr">
        <is>
          <t>Open</t>
        </is>
      </c>
      <c r="P14" s="6" t="inlineStr"/>
      <c r="Q14" s="6" t="inlineStr"/>
      <c r="R14" s="6" t="inlineStr"/>
    </row>
    <row r="15">
      <c r="A15" s="6" t="n">
        <v>14</v>
      </c>
      <c r="B15" s="6" t="inlineStr">
        <is>
          <t>night</t>
        </is>
      </c>
      <c r="C15" s="6" t="inlineStr">
        <is>
          <t>NIGHT!</t>
        </is>
      </c>
      <c r="D15" s="6" t="inlineStr">
        <is>
          <t>Tutorial</t>
        </is>
      </c>
      <c r="E15" s="6" t="inlineStr">
        <is>
          <t>Tutorial</t>
        </is>
      </c>
      <c r="F15" s="7" t="inlineStr">
        <is>
          <t>KEEP</t>
        </is>
      </c>
      <c r="G15" s="6" t="inlineStr">
        <is>
          <t>Y</t>
        </is>
      </c>
      <c r="H15" s="6" t="inlineStr"/>
      <c r="I15" s="6" t="inlineStr">
        <is>
          <t>state</t>
        </is>
      </c>
      <c r="J15" s="6" t="inlineStr">
        <is>
          <t>-put out the Sun-</t>
        </is>
      </c>
      <c r="K15" s="6" t="inlineStr"/>
      <c r="L15" s="6" t="inlineStr">
        <is>
          <t>354</t>
        </is>
      </c>
      <c r="M15" s="6" t="inlineStr"/>
      <c r="N15" s="6" t="inlineStr">
        <is>
          <t>Joke</t>
        </is>
      </c>
      <c r="O15" s="6" t="inlineStr">
        <is>
          <t>Open</t>
        </is>
      </c>
      <c r="P15" s="6" t="inlineStr"/>
      <c r="Q15" s="6" t="inlineStr"/>
      <c r="R15" s="6" t="inlineStr"/>
    </row>
    <row r="16">
      <c r="A16" s="6" t="n">
        <v>15</v>
      </c>
      <c r="B16" s="6" t="inlineStr">
        <is>
          <t>void</t>
        </is>
      </c>
      <c r="C16" s="6" t="inlineStr">
        <is>
          <t>VOID!</t>
        </is>
      </c>
      <c r="D16" s="6" t="inlineStr">
        <is>
          <t>Tutorial</t>
        </is>
      </c>
      <c r="E16" s="6" t="inlineStr">
        <is>
          <t>Tutorial</t>
        </is>
      </c>
      <c r="F16" s="7" t="inlineStr">
        <is>
          <t>KEEP</t>
        </is>
      </c>
      <c r="G16" s="6" t="inlineStr">
        <is>
          <t>Y</t>
        </is>
      </c>
      <c r="H16" s="6" t="inlineStr"/>
      <c r="I16" s="6" t="inlineStr">
        <is>
          <t>state</t>
        </is>
      </c>
      <c r="J16" s="6" t="inlineStr">
        <is>
          <t>-take every prime away-</t>
        </is>
      </c>
      <c r="K16" s="6" t="inlineStr"/>
      <c r="L16" s="6" t="inlineStr">
        <is>
          <t>-</t>
        </is>
      </c>
      <c r="M16" s="6" t="inlineStr"/>
      <c r="N16" s="6" t="inlineStr">
        <is>
          <t>Joke</t>
        </is>
      </c>
      <c r="O16" s="6" t="inlineStr">
        <is>
          <t>Open</t>
        </is>
      </c>
      <c r="P16" s="6" t="inlineStr"/>
      <c r="Q16" s="8" t="inlineStr">
        <is>
          <t>1</t>
        </is>
      </c>
      <c r="R16" s="6" t="inlineStr">
        <is>
          <t>Blurb is a real intuition beat: 0 and 1 are the only numbers not built out of primes.</t>
        </is>
      </c>
    </row>
    <row r="17">
      <c r="A17" s="6" t="n">
        <v>16</v>
      </c>
      <c r="B17" s="6" t="inlineStr">
        <is>
          <t>empty-set</t>
        </is>
      </c>
      <c r="C17" s="6" t="inlineStr">
        <is>
          <t>EMPTY SET!</t>
        </is>
      </c>
      <c r="D17" s="6" t="inlineStr">
        <is>
          <t>Tutorial</t>
        </is>
      </c>
      <c r="E17" s="6" t="inlineStr">
        <is>
          <t>Tutorial</t>
        </is>
      </c>
      <c r="F17" s="7" t="inlineStr">
        <is>
          <t>KEEP</t>
        </is>
      </c>
      <c r="G17" s="6" t="inlineStr">
        <is>
          <t>Y</t>
        </is>
      </c>
      <c r="H17" s="6" t="inlineStr"/>
      <c r="I17" s="6" t="inlineStr">
        <is>
          <t>state</t>
        </is>
      </c>
      <c r="J17" s="6" t="inlineStr">
        <is>
          <t>-then take away what was left-</t>
        </is>
      </c>
      <c r="K17" s="6" t="inlineStr"/>
      <c r="L17" s="6" t="inlineStr">
        <is>
          <t>86</t>
        </is>
      </c>
      <c r="M17" s="6" t="inlineStr"/>
      <c r="N17" s="6" t="inlineStr">
        <is>
          <t>Joke</t>
        </is>
      </c>
      <c r="O17" s="6" t="inlineStr">
        <is>
          <t>Open</t>
        </is>
      </c>
      <c r="P17" s="6" t="inlineStr"/>
      <c r="Q17" s="8" t="inlineStr">
        <is>
          <t>Empty set</t>
        </is>
      </c>
      <c r="R17" s="6" t="inlineStr"/>
    </row>
    <row r="18">
      <c r="A18" s="6" t="n">
        <v>17</v>
      </c>
      <c r="B18" s="6" t="inlineStr">
        <is>
          <t>fibonacci</t>
        </is>
      </c>
      <c r="C18" s="6" t="inlineStr">
        <is>
          <t>FIBONACCI!</t>
        </is>
      </c>
      <c r="D18" s="6" t="inlineStr">
        <is>
          <t>Math</t>
        </is>
      </c>
      <c r="E18" s="6" t="inlineStr">
        <is>
          <t>Series</t>
        </is>
      </c>
      <c r="F18" s="7" t="inlineStr">
        <is>
          <t>KEEP</t>
        </is>
      </c>
      <c r="G18" s="6" t="inlineStr">
        <is>
          <t>Y</t>
        </is>
      </c>
      <c r="H18" s="6" t="inlineStr"/>
      <c r="I18" s="6" t="inlineStr">
        <is>
          <t>select exactly {2, 3, 5, 13, 89}</t>
        </is>
      </c>
      <c r="J18" s="6" t="inlineStr">
        <is>
          <t>-how nature counts-</t>
        </is>
      </c>
      <c r="K18" s="6" t="inlineStr"/>
      <c r="L18" s="6" t="inlineStr">
        <is>
          <t>2, 3, 5, 8, 13 ... (14 nodes)</t>
        </is>
      </c>
      <c r="M18" s="6" t="inlineStr"/>
      <c r="N18" s="6" t="inlineStr">
        <is>
          <t>Pattern</t>
        </is>
      </c>
      <c r="O18" s="6" t="inlineStr">
        <is>
          <t>Open</t>
        </is>
      </c>
      <c r="P18" s="6" t="inlineStr"/>
      <c r="Q18" s="8" t="inlineStr">
        <is>
          <t>Fibonacci sequence</t>
        </is>
      </c>
      <c r="R18" s="6" t="inlineStr">
        <is>
          <t>Model achievement: select 5 primes, 14 nodes light up that you did not select.</t>
        </is>
      </c>
    </row>
    <row r="19">
      <c r="A19" s="6" t="n">
        <v>18</v>
      </c>
      <c r="B19" s="6" t="inlineStr">
        <is>
          <t>lucas</t>
        </is>
      </c>
      <c r="C19" s="6" t="inlineStr">
        <is>
          <t>LUCAS!</t>
        </is>
      </c>
      <c r="D19" s="6" t="inlineStr">
        <is>
          <t>Math</t>
        </is>
      </c>
      <c r="E19" s="6" t="inlineStr">
        <is>
          <t>Series</t>
        </is>
      </c>
      <c r="F19" s="10" t="inlineStr">
        <is>
          <t>FIX-CLUE</t>
        </is>
      </c>
      <c r="G19" s="6" t="inlineStr">
        <is>
          <t>Y</t>
        </is>
      </c>
      <c r="H19" s="6" t="inlineStr"/>
      <c r="I19" s="6" t="inlineStr">
        <is>
          <t>select exactly {2, 3, 7, 11, 29, 47}</t>
        </is>
      </c>
      <c r="J19" s="6" t="inlineStr">
        <is>
          <t>-fibonacci, but different-</t>
        </is>
      </c>
      <c r="K19" s="6" t="inlineStr">
        <is>
          <t>-two and one, then add as before-</t>
        </is>
      </c>
      <c r="L19" s="6" t="inlineStr">
        <is>
          <t>2, 3, 4, 7, 11 ... (14 nodes)</t>
        </is>
      </c>
      <c r="M19" s="6" t="inlineStr"/>
      <c r="N19" s="6" t="inlineStr">
        <is>
          <t>Pattern</t>
        </is>
      </c>
      <c r="O19" s="6" t="inlineStr">
        <is>
          <t>Closed</t>
        </is>
      </c>
      <c r="P19" s="6" t="inlineStr"/>
      <c r="Q19" s="8" t="inlineStr">
        <is>
          <t>Lucas number</t>
        </is>
      </c>
      <c r="R19" s="6" t="inlineStr">
        <is>
          <t>The clearest failure of the no-education-tax rule. "-fibonacci, but different-" offers no route in at all: you must already know the Lucas sequence AND which of its members are prime. The proposed clue states the rule and the seeds, so the work becomes derivation rather than recall - a fair professor achievement instead of a wall.</t>
        </is>
      </c>
    </row>
    <row r="20">
      <c r="A20" s="6" t="n">
        <v>19</v>
      </c>
      <c r="B20" s="6" t="inlineStr">
        <is>
          <t>perfect</t>
        </is>
      </c>
      <c r="C20" s="6" t="inlineStr">
        <is>
          <t>PERFECT!</t>
        </is>
      </c>
      <c r="D20" s="6" t="inlineStr">
        <is>
          <t>Math</t>
        </is>
      </c>
      <c r="E20" s="6" t="inlineStr">
        <is>
          <t>Series</t>
        </is>
      </c>
      <c r="F20" s="7" t="inlineStr">
        <is>
          <t>KEEP</t>
        </is>
      </c>
      <c r="G20" s="6" t="inlineStr">
        <is>
          <t>Y</t>
        </is>
      </c>
      <c r="H20" s="6" t="inlineStr"/>
      <c r="I20" s="6" t="inlineStr">
        <is>
          <t>select exactly {2, 3, 7, 31}</t>
        </is>
      </c>
      <c r="J20" s="6" t="inlineStr">
        <is>
          <t>-equal to the sum of its parts-</t>
        </is>
      </c>
      <c r="K20" s="6" t="inlineStr"/>
      <c r="L20" s="6" t="inlineStr">
        <is>
          <t>2, 3, 7, 31, 6 ... (7 nodes)</t>
        </is>
      </c>
      <c r="M20" s="6" t="inlineStr"/>
      <c r="N20" s="6" t="inlineStr">
        <is>
          <t>New nodes</t>
        </is>
      </c>
      <c r="O20" s="6" t="inlineStr">
        <is>
          <t>Lookup</t>
        </is>
      </c>
      <c r="P20" s="6" t="inlineStr"/>
      <c r="Q20" s="8" t="inlineStr">
        <is>
          <t>Perfect number</t>
        </is>
      </c>
      <c r="R20" s="6" t="inlineStr">
        <is>
          <t>Good: 6, 28 and 496 appear and you selected none of them. Route is fair - take the perfect numbers you know and select their factors.</t>
        </is>
      </c>
    </row>
    <row r="21">
      <c r="A21" s="6" t="n">
        <v>20</v>
      </c>
      <c r="B21" s="6" t="inlineStr">
        <is>
          <t>twinning</t>
        </is>
      </c>
      <c r="C21" s="6" t="inlineStr">
        <is>
          <t>TWINNING!</t>
        </is>
      </c>
      <c r="D21" s="6" t="inlineStr">
        <is>
          <t>Math</t>
        </is>
      </c>
      <c r="E21" s="6" t="inlineStr">
        <is>
          <t>Primes</t>
        </is>
      </c>
      <c r="F21" s="7" t="inlineStr">
        <is>
          <t>KEEP</t>
        </is>
      </c>
      <c r="G21" s="6" t="inlineStr">
        <is>
          <t>Y</t>
        </is>
      </c>
      <c r="H21" s="6" t="inlineStr"/>
      <c r="I21" s="6" t="inlineStr">
        <is>
          <t>state</t>
        </is>
      </c>
      <c r="J21" s="6" t="inlineStr">
        <is>
          <t>-one even number between them-</t>
        </is>
      </c>
      <c r="K21" s="6" t="inlineStr"/>
      <c r="L21" s="6" t="inlineStr">
        <is>
          <t>3, 5, 7, 11, 13 ... (69 nodes)</t>
        </is>
      </c>
      <c r="M21" s="6" t="inlineStr"/>
      <c r="N21" s="6" t="inlineStr">
        <is>
          <t>Pattern</t>
        </is>
      </c>
      <c r="O21" s="6" t="inlineStr">
        <is>
          <t>Open</t>
        </is>
      </c>
      <c r="P21" s="6" t="inlineStr"/>
      <c r="Q21" s="8" t="inlineStr">
        <is>
          <t>Twin prime</t>
        </is>
      </c>
      <c r="R21" s="6" t="inlineStr">
        <is>
          <t>Best in class. The clue alone is sufficient and 69 nodes answer.</t>
        </is>
      </c>
    </row>
    <row r="22">
      <c r="A22" s="6" t="n">
        <v>21</v>
      </c>
      <c r="B22" s="6" t="inlineStr">
        <is>
          <t>cousins</t>
        </is>
      </c>
      <c r="C22" s="6" t="inlineStr">
        <is>
          <t>COUSINS!</t>
        </is>
      </c>
      <c r="D22" s="6" t="inlineStr">
        <is>
          <t>Math</t>
        </is>
      </c>
      <c r="E22" s="6" t="inlineStr">
        <is>
          <t>Primes</t>
        </is>
      </c>
      <c r="F22" s="7" t="inlineStr">
        <is>
          <t>KEEP</t>
        </is>
      </c>
      <c r="G22" s="6" t="inlineStr">
        <is>
          <t>Y</t>
        </is>
      </c>
      <c r="H22" s="6" t="inlineStr"/>
      <c r="I22" s="6" t="inlineStr">
        <is>
          <t>state</t>
        </is>
      </c>
      <c r="J22" s="6" t="inlineStr">
        <is>
          <t>-four apart-</t>
        </is>
      </c>
      <c r="K22" s="6" t="inlineStr"/>
      <c r="L22" s="6" t="inlineStr">
        <is>
          <t>3, 7, 11, 13, 17 ... (81 nodes)</t>
        </is>
      </c>
      <c r="M22" s="6" t="inlineStr"/>
      <c r="N22" s="6" t="inlineStr">
        <is>
          <t>Pattern</t>
        </is>
      </c>
      <c r="O22" s="6" t="inlineStr">
        <is>
          <t>Open</t>
        </is>
      </c>
      <c r="P22" s="6" t="inlineStr"/>
      <c r="Q22" s="8" t="inlineStr">
        <is>
          <t>Cousin prime</t>
        </is>
      </c>
      <c r="R22" s="6" t="inlineStr"/>
    </row>
    <row r="23">
      <c r="A23" s="6" t="n">
        <v>22</v>
      </c>
      <c r="B23" s="6" t="inlineStr">
        <is>
          <t>sexy</t>
        </is>
      </c>
      <c r="C23" s="6" t="inlineStr">
        <is>
          <t>SEXY!</t>
        </is>
      </c>
      <c r="D23" s="6" t="inlineStr">
        <is>
          <t>Math</t>
        </is>
      </c>
      <c r="E23" s="6" t="inlineStr">
        <is>
          <t>Primes</t>
        </is>
      </c>
      <c r="F23" s="7" t="inlineStr">
        <is>
          <t>KEEP</t>
        </is>
      </c>
      <c r="G23" s="6" t="inlineStr">
        <is>
          <t>Y</t>
        </is>
      </c>
      <c r="H23" s="6" t="inlineStr"/>
      <c r="I23" s="6" t="inlineStr">
        <is>
          <t>state</t>
        </is>
      </c>
      <c r="J23" s="6" t="inlineStr">
        <is>
          <t>-six apart, and that is the real name-</t>
        </is>
      </c>
      <c r="K23" s="6" t="inlineStr"/>
      <c r="L23" s="6" t="inlineStr">
        <is>
          <t>5, 7, 11, 13, 17 ... (120 nodes)</t>
        </is>
      </c>
      <c r="M23" s="6" t="inlineStr"/>
      <c r="N23" s="6" t="inlineStr">
        <is>
          <t>Pattern</t>
        </is>
      </c>
      <c r="O23" s="6" t="inlineStr">
        <is>
          <t>Open</t>
        </is>
      </c>
      <c r="P23" s="6" t="inlineStr"/>
      <c r="Q23" s="8" t="inlineStr">
        <is>
          <t>Sexy primes</t>
        </is>
      </c>
      <c r="R23" s="6" t="inlineStr"/>
    </row>
    <row r="24">
      <c r="A24" s="6" t="n">
        <v>23</v>
      </c>
      <c r="B24" s="6" t="inlineStr">
        <is>
          <t>germain</t>
        </is>
      </c>
      <c r="C24" s="6" t="inlineStr">
        <is>
          <t>GERMAIN!</t>
        </is>
      </c>
      <c r="D24" s="6" t="inlineStr">
        <is>
          <t>Math</t>
        </is>
      </c>
      <c r="E24" s="6" t="inlineStr">
        <is>
          <t>Primes</t>
        </is>
      </c>
      <c r="F24" s="7" t="inlineStr">
        <is>
          <t>KEEP</t>
        </is>
      </c>
      <c r="G24" s="6" t="inlineStr">
        <is>
          <t>Y</t>
        </is>
      </c>
      <c r="H24" s="6" t="inlineStr"/>
      <c r="I24" s="6" t="inlineStr">
        <is>
          <t>state</t>
        </is>
      </c>
      <c r="J24" s="6" t="inlineStr">
        <is>
          <t>-double it, add one-</t>
        </is>
      </c>
      <c r="K24" s="6" t="inlineStr"/>
      <c r="L24" s="6" t="inlineStr">
        <is>
          <t>2, 3, 5, 11, 23 ... (37 nodes)</t>
        </is>
      </c>
      <c r="M24" s="6" t="inlineStr"/>
      <c r="N24" s="6" t="inlineStr">
        <is>
          <t>Pattern</t>
        </is>
      </c>
      <c r="O24" s="6" t="inlineStr">
        <is>
          <t>Open</t>
        </is>
      </c>
      <c r="P24" s="6" t="inlineStr"/>
      <c r="Q24" s="8" t="inlineStr">
        <is>
          <t>Safe and Sophie Germain primes</t>
        </is>
      </c>
      <c r="R24" s="6" t="inlineStr">
        <is>
          <t>"-double it, add one-" is the model relational clue.</t>
        </is>
      </c>
    </row>
    <row r="25">
      <c r="A25" s="6" t="n">
        <v>24</v>
      </c>
      <c r="B25" s="6" t="inlineStr">
        <is>
          <t>emirp</t>
        </is>
      </c>
      <c r="C25" s="6" t="inlineStr">
        <is>
          <t>EMIRP!</t>
        </is>
      </c>
      <c r="D25" s="6" t="inlineStr">
        <is>
          <t>Math</t>
        </is>
      </c>
      <c r="E25" s="6" t="inlineStr">
        <is>
          <t>Primes</t>
        </is>
      </c>
      <c r="F25" s="7" t="inlineStr">
        <is>
          <t>KEEP</t>
        </is>
      </c>
      <c r="G25" s="6" t="inlineStr">
        <is>
          <t>Y</t>
        </is>
      </c>
      <c r="H25" s="6" t="inlineStr"/>
      <c r="I25" s="6" t="inlineStr">
        <is>
          <t>state</t>
        </is>
      </c>
      <c r="J25" s="6" t="inlineStr">
        <is>
          <t>-read it the other way-</t>
        </is>
      </c>
      <c r="K25" s="6" t="inlineStr"/>
      <c r="L25" s="6" t="inlineStr">
        <is>
          <t>13, 17, 31, 37, 71 ... (36 nodes)</t>
        </is>
      </c>
      <c r="M25" s="6" t="inlineStr"/>
      <c r="N25" s="6" t="inlineStr">
        <is>
          <t>Pattern</t>
        </is>
      </c>
      <c r="O25" s="6" t="inlineStr">
        <is>
          <t>Open</t>
        </is>
      </c>
      <c r="P25" s="6" t="inlineStr"/>
      <c r="Q25" s="8" t="inlineStr">
        <is>
          <t>Emirp</t>
        </is>
      </c>
      <c r="R25" s="6" t="inlineStr"/>
    </row>
    <row r="26">
      <c r="A26" s="6" t="n">
        <v>25</v>
      </c>
      <c r="B26" s="6" t="inlineStr">
        <is>
          <t>mersenne</t>
        </is>
      </c>
      <c r="C26" s="6" t="inlineStr">
        <is>
          <t>MERSENNE!</t>
        </is>
      </c>
      <c r="D26" s="6" t="inlineStr">
        <is>
          <t>Math</t>
        </is>
      </c>
      <c r="E26" s="6" t="inlineStr">
        <is>
          <t>Primes</t>
        </is>
      </c>
      <c r="F26" s="9" t="inlineStr">
        <is>
          <t>DROP</t>
        </is>
      </c>
      <c r="G26" s="6" t="inlineStr">
        <is>
          <t>N</t>
        </is>
      </c>
      <c r="H26" s="6" t="inlineStr">
        <is>
          <t>TEMPTED!</t>
        </is>
      </c>
      <c r="I26" s="6" t="inlineStr">
        <is>
          <t>select exactly {3, 7, 31, 127}</t>
        </is>
      </c>
      <c r="J26" s="6" t="inlineStr">
        <is>
          <t>-one less than a power of two-</t>
        </is>
      </c>
      <c r="K26" s="6" t="inlineStr"/>
      <c r="L26" s="6" t="inlineStr">
        <is>
          <t>3, 7, 31, 127</t>
        </is>
      </c>
      <c r="M26" s="6" t="inlineStr"/>
      <c r="N26" s="6" t="inlineStr">
        <is>
          <t>Self</t>
        </is>
      </c>
      <c r="O26" s="6" t="inlineStr">
        <is>
          <t>Lookup</t>
        </is>
      </c>
      <c r="P26" s="6" t="inlineStr"/>
      <c r="Q26" s="8" t="inlineStr">
        <is>
          <t>Mersenne prime</t>
        </is>
      </c>
      <c r="R26" s="6" t="inlineStr">
        <is>
          <t>Same idea as PERFECT! (2^p - 1), and the weaker of the two: PERFECT! reveals 6, 28 and 496, while MERSENNE! gilds back the four primes you just tapped. PERFECT!’s blurb already explains Mersenne primes, so the subject survives the cut. Frees the slot for TEMPTED!.</t>
        </is>
      </c>
    </row>
    <row r="27">
      <c r="A27" s="6" t="n">
        <v>26</v>
      </c>
      <c r="B27" s="6" t="inlineStr">
        <is>
          <t>fermat</t>
        </is>
      </c>
      <c r="C27" s="6" t="inlineStr">
        <is>
          <t>FERMAT!</t>
        </is>
      </c>
      <c r="D27" s="6" t="inlineStr">
        <is>
          <t>Math</t>
        </is>
      </c>
      <c r="E27" s="6" t="inlineStr">
        <is>
          <t>Primes</t>
        </is>
      </c>
      <c r="F27" s="7" t="inlineStr">
        <is>
          <t>KEEP</t>
        </is>
      </c>
      <c r="G27" s="6" t="inlineStr">
        <is>
          <t>Y</t>
        </is>
      </c>
      <c r="H27" s="6" t="inlineStr"/>
      <c r="I27" s="6" t="inlineStr">
        <is>
          <t>select exactly {3, 5, 17}</t>
        </is>
      </c>
      <c r="J27" s="6" t="inlineStr">
        <is>
          <t>-one more than a power of two-</t>
        </is>
      </c>
      <c r="K27" s="6" t="inlineStr"/>
      <c r="L27" s="6" t="inlineStr">
        <is>
          <t>3, 5, 17, 255, 257</t>
        </is>
      </c>
      <c r="M27" s="6" t="inlineStr"/>
      <c r="N27" s="6" t="inlineStr">
        <is>
          <t>New nodes</t>
        </is>
      </c>
      <c r="O27" s="6" t="inlineStr">
        <is>
          <t>Lookup</t>
        </is>
      </c>
      <c r="P27" s="6" t="inlineStr"/>
      <c r="Q27" s="8" t="inlineStr">
        <is>
          <t>Fermat number</t>
        </is>
      </c>
      <c r="R27" s="6" t="inlineStr">
        <is>
          <t>Select three primes, 255 and 257 appear. The payoff works.</t>
        </is>
      </c>
    </row>
    <row r="28">
      <c r="A28" s="6" t="n">
        <v>27</v>
      </c>
      <c r="B28" s="6" t="inlineStr">
        <is>
          <t>neat</t>
        </is>
      </c>
      <c r="C28" s="6" t="inlineStr">
        <is>
          <t>NEAT!</t>
        </is>
      </c>
      <c r="D28" s="6" t="inlineStr">
        <is>
          <t>Math</t>
        </is>
      </c>
      <c r="E28" s="6" t="inlineStr">
        <is>
          <t>Primes</t>
        </is>
      </c>
      <c r="F28" s="7" t="inlineStr">
        <is>
          <t>KEEP</t>
        </is>
      </c>
      <c r="G28" s="6" t="inlineStr">
        <is>
          <t>Y</t>
        </is>
      </c>
      <c r="H28" s="6" t="inlineStr"/>
      <c r="I28" s="6" t="inlineStr">
        <is>
          <t>state</t>
        </is>
      </c>
      <c r="J28" s="6" t="inlineStr">
        <is>
          <t>-almost a straight line-</t>
        </is>
      </c>
      <c r="K28" s="6" t="inlineStr"/>
      <c r="L28" s="6" t="inlineStr">
        <is>
          <t>89</t>
        </is>
      </c>
      <c r="M28" s="6" t="inlineStr"/>
      <c r="N28" s="6" t="inlineStr">
        <is>
          <t>New nodes</t>
        </is>
      </c>
      <c r="O28" s="6" t="inlineStr">
        <is>
          <t>Open</t>
        </is>
      </c>
      <c r="P28" s="6" t="inlineStr"/>
      <c r="Q28" s="8" t="inlineStr">
        <is>
          <t>Golden angle</t>
        </is>
      </c>
      <c r="R28" s="6" t="inlineStr">
        <is>
          <t>The only line drawn in the gallery. Worth protecting exactly as is.</t>
        </is>
      </c>
    </row>
    <row r="29">
      <c r="A29" s="6" t="n">
        <v>28</v>
      </c>
      <c r="B29" s="6" t="inlineStr">
        <is>
          <t>louder</t>
        </is>
      </c>
      <c r="C29" s="6" t="inlineStr">
        <is>
          <t>LOUDER!</t>
        </is>
      </c>
      <c r="D29" s="6" t="inlineStr">
        <is>
          <t>Math</t>
        </is>
      </c>
      <c r="E29" s="6" t="inlineStr">
        <is>
          <t>Primes</t>
        </is>
      </c>
      <c r="F29" s="7" t="inlineStr">
        <is>
          <t>KEEP</t>
        </is>
      </c>
      <c r="G29" s="6" t="inlineStr">
        <is>
          <t>Y</t>
        </is>
      </c>
      <c r="H29" s="6" t="inlineStr"/>
      <c r="I29" s="6" t="inlineStr">
        <is>
          <t>select exactly {11}</t>
        </is>
      </c>
      <c r="J29" s="6" t="inlineStr">
        <is>
          <t>-these ones go to-</t>
        </is>
      </c>
      <c r="K29" s="6" t="inlineStr"/>
      <c r="L29" s="6" t="inlineStr">
        <is>
          <t>11</t>
        </is>
      </c>
      <c r="M29" s="6" t="inlineStr"/>
      <c r="N29" s="6" t="inlineStr">
        <is>
          <t>Joke</t>
        </is>
      </c>
      <c r="O29" s="6" t="inlineStr">
        <is>
          <t>Open</t>
        </is>
      </c>
      <c r="P29" s="6" t="inlineStr"/>
      <c r="Q29" s="8" t="inlineStr">
        <is>
          <t>Up to eleven</t>
        </is>
      </c>
      <c r="R29" s="6" t="inlineStr">
        <is>
          <t>Spinal Tap. No blurb - the joke is the whole payload.</t>
        </is>
      </c>
    </row>
    <row r="30">
      <c r="A30" s="6" t="n">
        <v>29</v>
      </c>
      <c r="B30" s="6" t="inlineStr">
        <is>
          <t>smart</t>
        </is>
      </c>
      <c r="C30" s="6" t="inlineStr">
        <is>
          <t>SMART!</t>
        </is>
      </c>
      <c r="D30" s="6" t="inlineStr">
        <is>
          <t>Math</t>
        </is>
      </c>
      <c r="E30" s="6" t="inlineStr">
        <is>
          <t>Primes</t>
        </is>
      </c>
      <c r="F30" s="7" t="inlineStr">
        <is>
          <t>KEEP</t>
        </is>
      </c>
      <c r="G30" s="6" t="inlineStr">
        <is>
          <t>Y</t>
        </is>
      </c>
      <c r="H30" s="6" t="inlineStr"/>
      <c r="I30" s="6" t="inlineStr">
        <is>
          <t>state</t>
        </is>
      </c>
      <c r="J30" s="6" t="inlineStr">
        <is>
          <t>-intro class-</t>
        </is>
      </c>
      <c r="K30" s="6" t="inlineStr"/>
      <c r="L30" s="6" t="inlineStr">
        <is>
          <t>101</t>
        </is>
      </c>
      <c r="M30" s="6" t="inlineStr"/>
      <c r="N30" s="6" t="inlineStr">
        <is>
          <t>Joke</t>
        </is>
      </c>
      <c r="O30" s="6" t="inlineStr">
        <is>
          <t>Open</t>
        </is>
      </c>
      <c r="P30" s="6" t="inlineStr"/>
      <c r="Q30" s="8" t="inlineStr">
        <is>
          <t>101 (number)</t>
        </is>
      </c>
      <c r="R30" s="6" t="inlineStr"/>
    </row>
    <row r="31">
      <c r="A31" s="6" t="n">
        <v>30</v>
      </c>
      <c r="B31" s="6" t="inlineStr">
        <is>
          <t>balanced</t>
        </is>
      </c>
      <c r="C31" s="6" t="inlineStr">
        <is>
          <t>BALANCED!</t>
        </is>
      </c>
      <c r="D31" s="6" t="inlineStr">
        <is>
          <t>Math</t>
        </is>
      </c>
      <c r="E31" s="6" t="inlineStr">
        <is>
          <t>Primes</t>
        </is>
      </c>
      <c r="F31" s="10" t="inlineStr">
        <is>
          <t>FIX-GILD</t>
        </is>
      </c>
      <c r="G31" s="6" t="inlineStr">
        <is>
          <t>Y</t>
        </is>
      </c>
      <c r="H31" s="6" t="inlineStr"/>
      <c r="I31" s="6" t="inlineStr">
        <is>
          <t>select exactly {5, 53}</t>
        </is>
      </c>
      <c r="J31" s="6" t="inlineStr">
        <is>
          <t>-exactly halfway between its neighbours-</t>
        </is>
      </c>
      <c r="K31" s="6" t="inlineStr"/>
      <c r="L31" s="6" t="inlineStr">
        <is>
          <t>5, 53</t>
        </is>
      </c>
      <c r="M31" s="6" t="inlineStr">
        <is>
          <t>3, 5, 7, 47, 53, 59</t>
        </is>
      </c>
      <c r="N31" s="6" t="inlineStr">
        <is>
          <t>Self</t>
        </is>
      </c>
      <c r="O31" s="6" t="inlineStr">
        <is>
          <t>Open</t>
        </is>
      </c>
      <c r="P31" s="6" t="inlineStr"/>
      <c r="Q31" s="8" t="inlineStr">
        <is>
          <t>Balanced prime</t>
        </is>
      </c>
      <c r="R31" s="6" t="inlineStr">
        <is>
          <t>The idea is lovely and findable by eye - 3-5-7 is right there. The payoff is flat: you tap 5 and 53, and 5 and 53 light up. Gilding the neighbours draws the symmetry the blurb is describing.</t>
        </is>
      </c>
    </row>
    <row r="32">
      <c r="A32" s="6" t="n">
        <v>31</v>
      </c>
      <c r="B32" s="6" t="inlineStr">
        <is>
          <t>stride</t>
        </is>
      </c>
      <c r="C32" s="6" t="inlineStr">
        <is>
          <t>STRIDE!</t>
        </is>
      </c>
      <c r="D32" s="6" t="inlineStr">
        <is>
          <t>Math</t>
        </is>
      </c>
      <c r="E32" s="6" t="inlineStr">
        <is>
          <t>Primes</t>
        </is>
      </c>
      <c r="F32" s="10" t="inlineStr">
        <is>
          <t>FIX-GILD</t>
        </is>
      </c>
      <c r="G32" s="6" t="inlineStr">
        <is>
          <t>Y</t>
        </is>
      </c>
      <c r="H32" s="6" t="inlineStr"/>
      <c r="I32" s="6" t="inlineStr">
        <is>
          <t>select exactly {113, 127}</t>
        </is>
      </c>
      <c r="J32" s="6" t="inlineStr">
        <is>
          <t>-the widest step-</t>
        </is>
      </c>
      <c r="K32" s="6" t="inlineStr"/>
      <c r="L32" s="6" t="inlineStr">
        <is>
          <t>113, 127</t>
        </is>
      </c>
      <c r="M32" s="6" t="inlineStr">
        <is>
          <t>113-127 inclusive (15 nodes)</t>
        </is>
      </c>
      <c r="N32" s="6" t="inlineStr">
        <is>
          <t>Self</t>
        </is>
      </c>
      <c r="O32" s="6" t="inlineStr">
        <is>
          <t>Open</t>
        </is>
      </c>
      <c r="P32" s="6" t="inlineStr"/>
      <c r="Q32" s="8" t="inlineStr">
        <is>
          <t>Prime gap</t>
        </is>
      </c>
      <c r="R32" s="6" t="inlineStr">
        <is>
          <t>The clue "-the widest step-" describes a GAP and the gild shows only its two endpoints. Gilding the run makes you see the hole in the number line, which is the whole point.</t>
        </is>
      </c>
    </row>
    <row r="33">
      <c r="A33" s="6" t="n">
        <v>32</v>
      </c>
      <c r="B33" s="6" t="inlineStr">
        <is>
          <t>all-prime</t>
        </is>
      </c>
      <c r="C33" s="6" t="inlineStr">
        <is>
          <t>PRIME DIGITS!</t>
        </is>
      </c>
      <c r="D33" s="6" t="inlineStr">
        <is>
          <t>Math</t>
        </is>
      </c>
      <c r="E33" s="6" t="inlineStr">
        <is>
          <t>Primes</t>
        </is>
      </c>
      <c r="F33" s="10" t="inlineStr">
        <is>
          <t>FIX-GILD</t>
        </is>
      </c>
      <c r="G33" s="6" t="inlineStr">
        <is>
          <t>Y</t>
        </is>
      </c>
      <c r="H33" s="6" t="inlineStr"/>
      <c r="I33" s="6" t="inlineStr">
        <is>
          <t>select exactly {2, 3, 5, 7, 23, 37, 53, 73}</t>
        </is>
      </c>
      <c r="J33" s="6" t="inlineStr">
        <is>
          <t>-every digit too-</t>
        </is>
      </c>
      <c r="K33" s="6" t="inlineStr"/>
      <c r="L33" s="6" t="inlineStr">
        <is>
          <t>2, 3, 5, 7, 23 ... (8 nodes)</t>
        </is>
      </c>
      <c r="M33" s="6" t="inlineStr">
        <is>
          <t>all 84 numbers under 1000 written only in 2/3/5/7</t>
        </is>
      </c>
      <c r="N33" s="6" t="inlineStr">
        <is>
          <t>Self</t>
        </is>
      </c>
      <c r="O33" s="6" t="inlineStr">
        <is>
          <t>Lookup</t>
        </is>
      </c>
      <c r="P33" s="6" t="inlineStr"/>
      <c r="Q33" s="8" t="inlineStr">
        <is>
          <t>Decimal</t>
        </is>
      </c>
      <c r="R33" s="6" t="inlineStr">
        <is>
          <t>Eight taps, and the same eight light up. The blurb then undercuts its own achievement - "a fact about writing in base ten rather than about the numbers themselves". Gilding all 84 prime-digit numbers under 1000 turns that from an apology into a visible scatter, making the base-ten point the payoff instead of a caveat.</t>
        </is>
      </c>
    </row>
    <row r="34">
      <c r="A34" s="6" t="n">
        <v>33</v>
      </c>
      <c r="B34" s="6" t="inlineStr">
        <is>
          <t>super-prime</t>
        </is>
      </c>
      <c r="C34" s="6" t="inlineStr">
        <is>
          <t>SUPERPRIME!</t>
        </is>
      </c>
      <c r="D34" s="6" t="inlineStr">
        <is>
          <t>Math</t>
        </is>
      </c>
      <c r="E34" s="6" t="inlineStr">
        <is>
          <t>Primes</t>
        </is>
      </c>
      <c r="F34" s="11" t="inlineStr">
        <is>
          <t>REVIEW</t>
        </is>
      </c>
      <c r="G34" s="6" t="inlineStr">
        <is>
          <t>Y</t>
        </is>
      </c>
      <c r="H34" s="6" t="inlineStr"/>
      <c r="I34" s="6" t="inlineStr">
        <is>
          <t>select exactly {3, 5, 11, 17, 31, 41, 59, 67, 83, 109, 127}</t>
        </is>
      </c>
      <c r="J34" s="6" t="inlineStr">
        <is>
          <t>-count the primes and land on one-</t>
        </is>
      </c>
      <c r="K34" s="6" t="inlineStr"/>
      <c r="L34" s="6" t="inlineStr">
        <is>
          <t>3, 5, 11, 17, 31 ... (11 nodes)</t>
        </is>
      </c>
      <c r="M34" s="6" t="inlineStr"/>
      <c r="N34" s="6" t="inlineStr">
        <is>
          <t>Self</t>
        </is>
      </c>
      <c r="O34" s="6" t="inlineStr">
        <is>
          <t>Open</t>
        </is>
      </c>
      <c r="P34" s="6" t="inlineStr"/>
      <c r="Q34" s="8" t="inlineStr">
        <is>
          <t>Super-prime</t>
        </is>
      </c>
      <c r="R34" s="6" t="inlineStr">
        <is>
          <t>Split verdict - your call. The IDEA is the most intuitive thing in the cluster: count along the panel and land on a prime position, no education required, and the blurb says exactly that. The EXECUTION is 11 taps returning the same 11 nodes - the worst effort-to-payoff ratio in the list. No gild set fixes it, because here the answer IS the selection. Keep it as the deliberate completionist grind, or drop it and spend the slot on Puzzles.</t>
        </is>
      </c>
    </row>
    <row r="35">
      <c r="A35" s="6" t="n">
        <v>34</v>
      </c>
      <c r="B35" s="6" t="inlineStr">
        <is>
          <t>goldbach</t>
        </is>
      </c>
      <c r="C35" s="6" t="inlineStr">
        <is>
          <t>GOLDBACH!</t>
        </is>
      </c>
      <c r="D35" s="6" t="inlineStr">
        <is>
          <t>Math</t>
        </is>
      </c>
      <c r="E35" s="6" t="inlineStr">
        <is>
          <t>Puzzles</t>
        </is>
      </c>
      <c r="F35" s="7" t="inlineStr">
        <is>
          <t>KEEP</t>
        </is>
      </c>
      <c r="G35" s="6" t="inlineStr">
        <is>
          <t>Y</t>
        </is>
      </c>
      <c r="H35" s="6" t="inlineStr"/>
      <c r="I35" s="6" t="inlineStr">
        <is>
          <t>state</t>
        </is>
      </c>
      <c r="J35" s="6" t="inlineStr">
        <is>
          <t>-two make an even-</t>
        </is>
      </c>
      <c r="K35" s="6" t="inlineStr"/>
      <c r="L35" s="6" t="inlineStr">
        <is>
          <t>4, 6, 8, 10, 12 ... (123 nodes)</t>
        </is>
      </c>
      <c r="M35" s="6" t="inlineStr"/>
      <c r="N35" s="6" t="inlineStr">
        <is>
          <t>Pattern</t>
        </is>
      </c>
      <c r="O35" s="6" t="inlineStr">
        <is>
          <t>Open</t>
        </is>
      </c>
      <c r="P35" s="6" t="inlineStr"/>
      <c r="Q35" s="8" t="inlineStr">
        <is>
          <t>Goldbach's conjecture</t>
        </is>
      </c>
      <c r="R35" s="6" t="inlineStr">
        <is>
          <t>Exactly the brief: you verify a 1742 conjecture by hand and 123 nodes answer.</t>
        </is>
      </c>
    </row>
    <row r="36">
      <c r="A36" s="6" t="n">
        <v>35</v>
      </c>
      <c r="B36" s="6" t="inlineStr">
        <is>
          <t>collatz</t>
        </is>
      </c>
      <c r="C36" s="6" t="inlineStr">
        <is>
          <t>COLLATZ!</t>
        </is>
      </c>
      <c r="D36" s="6" t="inlineStr">
        <is>
          <t>Math</t>
        </is>
      </c>
      <c r="E36" s="6" t="inlineStr">
        <is>
          <t>Puzzles</t>
        </is>
      </c>
      <c r="F36" s="10" t="inlineStr">
        <is>
          <t>FIX-CLUE</t>
        </is>
      </c>
      <c r="G36" s="6" t="inlineStr">
        <is>
          <t>Y</t>
        </is>
      </c>
      <c r="H36" s="6" t="inlineStr"/>
      <c r="I36" s="6" t="inlineStr">
        <is>
          <t>select exactly {13, 67}</t>
        </is>
      </c>
      <c r="J36" s="6" t="inlineStr">
        <is>
          <t>-the long way down-</t>
        </is>
      </c>
      <c r="K36" s="6" t="inlineStr">
        <is>
          <t>-halve it, or triple it and add one-</t>
        </is>
      </c>
      <c r="L36" s="6" t="inlineStr">
        <is>
          <t>871</t>
        </is>
      </c>
      <c r="M36" s="6" t="inlineStr"/>
      <c r="N36" s="6" t="inlineStr">
        <is>
          <t>New nodes</t>
        </is>
      </c>
      <c r="O36" s="6" t="inlineStr">
        <is>
          <t>Closed</t>
        </is>
      </c>
      <c r="P36" s="6" t="inlineStr"/>
      <c r="Q36" s="8" t="inlineStr">
        <is>
          <t>Collatz conjecture</t>
        </is>
      </c>
      <c r="R36" s="6" t="inlineStr">
        <is>
          <t>The payoff is fine - 871 appears. The route is not: "-the long way down-" cannot get anyone to 871 unless they already know it is the under-1000 record holder. Naming the rule makes Collatz lookup-able - it is famous pop maths - and factoring 871 is then ordinary app work.</t>
        </is>
      </c>
    </row>
    <row r="37">
      <c r="A37" s="6" t="n">
        <v>36</v>
      </c>
      <c r="B37" s="6" t="inlineStr">
        <is>
          <t>run</t>
        </is>
      </c>
      <c r="C37" s="6" t="inlineStr">
        <is>
          <t>RUN!</t>
        </is>
      </c>
      <c r="D37" s="6" t="inlineStr">
        <is>
          <t>Math</t>
        </is>
      </c>
      <c r="E37" s="6" t="inlineStr">
        <is>
          <t>Puzzles</t>
        </is>
      </c>
      <c r="F37" s="7" t="inlineStr">
        <is>
          <t>KEEP</t>
        </is>
      </c>
      <c r="G37" s="6" t="inlineStr">
        <is>
          <t>Y</t>
        </is>
      </c>
      <c r="H37" s="6" t="inlineStr"/>
      <c r="I37" s="6" t="inlineStr">
        <is>
          <t>state</t>
        </is>
      </c>
      <c r="J37" s="6" t="inlineStr">
        <is>
          <t>-a run of them adds up to another-</t>
        </is>
      </c>
      <c r="K37" s="6" t="inlineStr"/>
      <c r="L37" s="6" t="inlineStr">
        <is>
          <t>17, 23, 31, 41, 53 ... (14 nodes)</t>
        </is>
      </c>
      <c r="M37" s="6" t="inlineStr"/>
      <c r="N37" s="6" t="inlineStr">
        <is>
          <t>Pattern</t>
        </is>
      </c>
      <c r="O37" s="6" t="inlineStr">
        <is>
          <t>Open</t>
        </is>
      </c>
      <c r="P37" s="6" t="inlineStr"/>
      <c r="Q37" s="8" t="inlineStr">
        <is>
          <t>Prime number</t>
        </is>
      </c>
      <c r="R37" s="6" t="inlineStr"/>
    </row>
    <row r="38">
      <c r="A38" s="6" t="n">
        <v>37</v>
      </c>
      <c r="B38" s="6" t="inlineStr">
        <is>
          <t>stairs</t>
        </is>
      </c>
      <c r="C38" s="6" t="inlineStr">
        <is>
          <t>STAIRS!</t>
        </is>
      </c>
      <c r="D38" s="6" t="inlineStr">
        <is>
          <t>Math</t>
        </is>
      </c>
      <c r="E38" s="6" t="inlineStr">
        <is>
          <t>Puzzles</t>
        </is>
      </c>
      <c r="F38" s="7" t="inlineStr">
        <is>
          <t>KEEP</t>
        </is>
      </c>
      <c r="G38" s="6" t="inlineStr">
        <is>
          <t>Y</t>
        </is>
      </c>
      <c r="H38" s="6" t="inlineStr"/>
      <c r="I38" s="6" t="inlineStr">
        <is>
          <t>state</t>
        </is>
      </c>
      <c r="J38" s="6" t="inlineStr">
        <is>
          <t>-three evenly spaced-</t>
        </is>
      </c>
      <c r="K38" s="6" t="inlineStr"/>
      <c r="L38" s="6" t="inlineStr">
        <is>
          <t>3, 5, 7</t>
        </is>
      </c>
      <c r="M38" s="6" t="inlineStr"/>
      <c r="N38" s="6" t="inlineStr">
        <is>
          <t>New nodes</t>
        </is>
      </c>
      <c r="O38" s="6" t="inlineStr">
        <is>
          <t>Open</t>
        </is>
      </c>
      <c r="P38" s="6" t="inlineStr"/>
      <c r="Q38" s="8" t="inlineStr">
        <is>
          <t>Primes in arithmetic progression</t>
        </is>
      </c>
      <c r="R38" s="6" t="inlineStr">
        <is>
          <t>Blurb is a genuine "ahhh": why 3-5-7 is the only consecutive triple that can ever be evenly spaced.</t>
        </is>
      </c>
    </row>
    <row r="39">
      <c r="A39" s="6" t="n">
        <v>38</v>
      </c>
      <c r="B39" s="6" t="inlineStr">
        <is>
          <t>square-up</t>
        </is>
      </c>
      <c r="C39" s="6" t="inlineStr">
        <is>
          <t>SQUARE UP!</t>
        </is>
      </c>
      <c r="D39" s="6" t="inlineStr">
        <is>
          <t>Math</t>
        </is>
      </c>
      <c r="E39" s="6" t="inlineStr">
        <is>
          <t>Puzzles</t>
        </is>
      </c>
      <c r="F39" s="7" t="inlineStr">
        <is>
          <t>KEEP</t>
        </is>
      </c>
      <c r="G39" s="6" t="inlineStr">
        <is>
          <t>Y</t>
        </is>
      </c>
      <c r="H39" s="6" t="inlineStr"/>
      <c r="I39" s="6" t="inlineStr">
        <is>
          <t>state</t>
        </is>
      </c>
      <c r="J39" s="6" t="inlineStr">
        <is>
          <t>-two that add to a square-</t>
        </is>
      </c>
      <c r="K39" s="6" t="inlineStr"/>
      <c r="L39" s="6" t="inlineStr">
        <is>
          <t>9, 16, 25, 36, 49 ... (10 nodes)</t>
        </is>
      </c>
      <c r="M39" s="6" t="inlineStr"/>
      <c r="N39" s="6" t="inlineStr">
        <is>
          <t>Pattern</t>
        </is>
      </c>
      <c r="O39" s="6" t="inlineStr">
        <is>
          <t>Open</t>
        </is>
      </c>
      <c r="P39" s="6" t="inlineStr"/>
      <c r="Q39" s="8" t="inlineStr">
        <is>
          <t>Square number</t>
        </is>
      </c>
      <c r="R39" s="6" t="inlineStr"/>
    </row>
    <row r="40">
      <c r="A40" s="6" t="n">
        <v>39</v>
      </c>
      <c r="B40" s="6" t="inlineStr">
        <is>
          <t>nice</t>
        </is>
      </c>
      <c r="C40" s="6" t="inlineStr">
        <is>
          <t>NICE!</t>
        </is>
      </c>
      <c r="D40" s="6" t="inlineStr">
        <is>
          <t>Culture</t>
        </is>
      </c>
      <c r="E40" s="6" t="inlineStr">
        <is>
          <t>Meme</t>
        </is>
      </c>
      <c r="F40" s="7" t="inlineStr">
        <is>
          <t>KEEP</t>
        </is>
      </c>
      <c r="G40" s="6" t="inlineStr">
        <is>
          <t>Y</t>
        </is>
      </c>
      <c r="H40" s="6" t="inlineStr"/>
      <c r="I40" s="6" t="inlineStr">
        <is>
          <t>select exactly {3, 23}</t>
        </is>
      </c>
      <c r="J40" s="6" t="inlineStr">
        <is>
          <t>-nice-</t>
        </is>
      </c>
      <c r="K40" s="6" t="inlineStr"/>
      <c r="L40" s="6" t="inlineStr">
        <is>
          <t>69</t>
        </is>
      </c>
      <c r="M40" s="6" t="inlineStr"/>
      <c r="N40" s="6" t="inlineStr">
        <is>
          <t>New nodes</t>
        </is>
      </c>
      <c r="O40" s="6" t="inlineStr">
        <is>
          <t>Open</t>
        </is>
      </c>
      <c r="P40" s="6" t="inlineStr"/>
      <c r="Q40" s="8" t="inlineStr">
        <is>
          <t>69 (number)</t>
        </is>
      </c>
      <c r="R40" s="6" t="inlineStr"/>
    </row>
    <row r="41">
      <c r="A41" s="6" t="n">
        <v>40</v>
      </c>
      <c r="B41" s="6" t="inlineStr">
        <is>
          <t>dude</t>
        </is>
      </c>
      <c r="C41" s="6" t="inlineStr">
        <is>
          <t>DUDE!</t>
        </is>
      </c>
      <c r="D41" s="6" t="inlineStr">
        <is>
          <t>Culture</t>
        </is>
      </c>
      <c r="E41" s="6" t="inlineStr">
        <is>
          <t>Meme</t>
        </is>
      </c>
      <c r="F41" s="7" t="inlineStr">
        <is>
          <t>KEEP</t>
        </is>
      </c>
      <c r="G41" s="6" t="inlineStr">
        <is>
          <t>Y</t>
        </is>
      </c>
      <c r="H41" s="6" t="inlineStr"/>
      <c r="I41" s="6" t="inlineStr">
        <is>
          <t>select exactly {2, 3, 5, 7}</t>
        </is>
      </c>
      <c r="J41" s="6" t="inlineStr">
        <is>
          <t>-what was I saying?-</t>
        </is>
      </c>
      <c r="K41" s="6" t="inlineStr"/>
      <c r="L41" s="6" t="inlineStr">
        <is>
          <t>420</t>
        </is>
      </c>
      <c r="M41" s="6" t="inlineStr"/>
      <c r="N41" s="6" t="inlineStr">
        <is>
          <t>New nodes</t>
        </is>
      </c>
      <c r="O41" s="6" t="inlineStr">
        <is>
          <t>Open</t>
        </is>
      </c>
      <c r="P41" s="6" t="inlineStr"/>
      <c r="Q41" s="8" t="inlineStr">
        <is>
          <t>420 (cannabis culture)</t>
        </is>
      </c>
      <c r="R41" s="6" t="inlineStr"/>
    </row>
    <row r="42">
      <c r="A42" s="6" t="n">
        <v>41</v>
      </c>
      <c r="B42" s="6" t="inlineStr">
        <is>
          <t>meme</t>
        </is>
      </c>
      <c r="C42" s="6" t="inlineStr">
        <is>
          <t>MEME!</t>
        </is>
      </c>
      <c r="D42" s="6" t="inlineStr">
        <is>
          <t>Culture</t>
        </is>
      </c>
      <c r="E42" s="6" t="inlineStr">
        <is>
          <t>Meme</t>
        </is>
      </c>
      <c r="F42" s="11" t="inlineStr">
        <is>
          <t>REVIEW</t>
        </is>
      </c>
      <c r="G42" s="6" t="inlineStr">
        <is>
          <t>Y</t>
        </is>
      </c>
      <c r="H42" s="6" t="inlineStr"/>
      <c r="I42" s="6" t="inlineStr">
        <is>
          <t>select exactly {67}</t>
        </is>
      </c>
      <c r="J42" s="6" t="inlineStr">
        <is>
          <t>-kids these days-</t>
        </is>
      </c>
      <c r="K42" s="6" t="inlineStr"/>
      <c r="L42" s="6" t="inlineStr">
        <is>
          <t>67</t>
        </is>
      </c>
      <c r="M42" s="6" t="inlineStr"/>
      <c r="N42" s="6" t="inlineStr">
        <is>
          <t>Joke</t>
        </is>
      </c>
      <c r="O42" s="6" t="inlineStr">
        <is>
          <t>Open</t>
        </is>
      </c>
      <c r="P42" s="6" t="inlineStr"/>
      <c r="Q42" s="6" t="inlineStr"/>
      <c r="R42" s="6" t="inlineStr">
        <is>
          <t>Ages fastest of anything in the list. ACHIEVEMENTS.md §3 warns that Play Games effectively never lets you REMOVE an achievement, so a current-meme entry is the one mistake that cannot be corrected later. "-kids these days-" plus no blurb means a 2029 player gets nothing at all. Drop candidate - or give it a blurb that still parses once the meme is dead.</t>
        </is>
      </c>
    </row>
    <row r="43">
      <c r="A43" s="6" t="n">
        <v>42</v>
      </c>
      <c r="B43" s="6" t="inlineStr">
        <is>
          <t>oil</t>
        </is>
      </c>
      <c r="C43" s="6" t="inlineStr">
        <is>
          <t>OIL!</t>
        </is>
      </c>
      <c r="D43" s="6" t="inlineStr">
        <is>
          <t>Culture</t>
        </is>
      </c>
      <c r="E43" s="6" t="inlineStr">
        <is>
          <t>Meme</t>
        </is>
      </c>
      <c r="F43" s="7" t="inlineStr">
        <is>
          <t>KEEP</t>
        </is>
      </c>
      <c r="G43" s="6" t="inlineStr">
        <is>
          <t>Y</t>
        </is>
      </c>
      <c r="H43" s="6" t="inlineStr"/>
      <c r="I43" s="6" t="inlineStr">
        <is>
          <t>select exactly {2, 5, 71}</t>
        </is>
      </c>
      <c r="J43" s="6" t="inlineStr">
        <is>
          <t>-upside down-</t>
        </is>
      </c>
      <c r="K43" s="6" t="inlineStr"/>
      <c r="L43" s="6" t="inlineStr">
        <is>
          <t>710</t>
        </is>
      </c>
      <c r="M43" s="6" t="inlineStr"/>
      <c r="N43" s="6" t="inlineStr">
        <is>
          <t>New nodes</t>
        </is>
      </c>
      <c r="O43" s="6" t="inlineStr">
        <is>
          <t>Open</t>
        </is>
      </c>
      <c r="P43" s="6" t="inlineStr"/>
      <c r="Q43" s="8" t="inlineStr">
        <is>
          <t>Calculator spelling</t>
        </is>
      </c>
      <c r="R43" s="6" t="inlineStr"/>
    </row>
    <row r="44">
      <c r="A44" s="6" t="n">
        <v>43</v>
      </c>
      <c r="B44" s="6" t="inlineStr">
        <is>
          <t>catch</t>
        </is>
      </c>
      <c r="C44" s="6" t="inlineStr">
        <is>
          <t>CATCH!</t>
        </is>
      </c>
      <c r="D44" s="6" t="inlineStr">
        <is>
          <t>Culture</t>
        </is>
      </c>
      <c r="E44" s="6" t="inlineStr">
        <is>
          <t>Meme</t>
        </is>
      </c>
      <c r="F44" s="7" t="inlineStr">
        <is>
          <t>KEEP</t>
        </is>
      </c>
      <c r="G44" s="6" t="inlineStr">
        <is>
          <t>Y</t>
        </is>
      </c>
      <c r="H44" s="6" t="inlineStr"/>
      <c r="I44" s="6" t="inlineStr">
        <is>
          <t>select exactly {2, 11}</t>
        </is>
      </c>
      <c r="J44" s="6" t="inlineStr">
        <is>
          <t>-damned either way-</t>
        </is>
      </c>
      <c r="K44" s="6" t="inlineStr"/>
      <c r="L44" s="6" t="inlineStr">
        <is>
          <t>22</t>
        </is>
      </c>
      <c r="M44" s="6" t="inlineStr"/>
      <c r="N44" s="6" t="inlineStr">
        <is>
          <t>New nodes</t>
        </is>
      </c>
      <c r="O44" s="6" t="inlineStr">
        <is>
          <t>Open</t>
        </is>
      </c>
      <c r="P44" s="6" t="inlineStr"/>
      <c r="Q44" s="8" t="inlineStr">
        <is>
          <t>Catch-22 (logic)</t>
        </is>
      </c>
      <c r="R44" s="6" t="inlineStr">
        <is>
          <t>No blurb. Catch-22 is widely known, but a blurb would still help.</t>
        </is>
      </c>
    </row>
    <row r="45">
      <c r="A45" s="6" t="n">
        <v>44</v>
      </c>
      <c r="B45" s="6" t="inlineStr">
        <is>
          <t>route</t>
        </is>
      </c>
      <c r="C45" s="6" t="inlineStr">
        <is>
          <t>ROUTE!</t>
        </is>
      </c>
      <c r="D45" s="6" t="inlineStr">
        <is>
          <t>Culture</t>
        </is>
      </c>
      <c r="E45" s="6" t="inlineStr">
        <is>
          <t>Meme</t>
        </is>
      </c>
      <c r="F45" s="7" t="inlineStr">
        <is>
          <t>KEEP</t>
        </is>
      </c>
      <c r="G45" s="6" t="inlineStr">
        <is>
          <t>Y</t>
        </is>
      </c>
      <c r="H45" s="6" t="inlineStr"/>
      <c r="I45" s="6" t="inlineStr">
        <is>
          <t>select exactly {2, 3, 11}</t>
        </is>
      </c>
      <c r="J45" s="6" t="inlineStr">
        <is>
          <t>-get your kicks-</t>
        </is>
      </c>
      <c r="K45" s="6" t="inlineStr"/>
      <c r="L45" s="6" t="inlineStr">
        <is>
          <t>66</t>
        </is>
      </c>
      <c r="M45" s="6" t="inlineStr"/>
      <c r="N45" s="6" t="inlineStr">
        <is>
          <t>New nodes</t>
        </is>
      </c>
      <c r="O45" s="6" t="inlineStr">
        <is>
          <t>Open</t>
        </is>
      </c>
      <c r="P45" s="6" t="inlineStr"/>
      <c r="Q45" s="8" t="inlineStr">
        <is>
          <t>U.S. Route 66</t>
        </is>
      </c>
      <c r="R45" s="6" t="inlineStr">
        <is>
          <t>No blurb. Route 66 is US-centric - a blurb would carry it abroad.</t>
        </is>
      </c>
    </row>
    <row r="46">
      <c r="A46" s="6" t="n">
        <v>45</v>
      </c>
      <c r="B46" s="6" t="inlineStr">
        <is>
          <t>cards</t>
        </is>
      </c>
      <c r="C46" s="6" t="inlineStr">
        <is>
          <t>CARDS!</t>
        </is>
      </c>
      <c r="D46" s="6" t="inlineStr">
        <is>
          <t>Culture</t>
        </is>
      </c>
      <c r="E46" s="6" t="inlineStr">
        <is>
          <t>Meme</t>
        </is>
      </c>
      <c r="F46" s="7" t="inlineStr">
        <is>
          <t>KEEP</t>
        </is>
      </c>
      <c r="G46" s="6" t="inlineStr">
        <is>
          <t>Y</t>
        </is>
      </c>
      <c r="H46" s="6" t="inlineStr"/>
      <c r="I46" s="6" t="inlineStr">
        <is>
          <t>select exactly {3, 7}</t>
        </is>
      </c>
      <c r="J46" s="6" t="inlineStr">
        <is>
          <t>-hit me-</t>
        </is>
      </c>
      <c r="K46" s="6" t="inlineStr"/>
      <c r="L46" s="6" t="inlineStr">
        <is>
          <t>21</t>
        </is>
      </c>
      <c r="M46" s="6" t="inlineStr"/>
      <c r="N46" s="6" t="inlineStr">
        <is>
          <t>New nodes</t>
        </is>
      </c>
      <c r="O46" s="6" t="inlineStr">
        <is>
          <t>Open</t>
        </is>
      </c>
      <c r="P46" s="12" t="inlineStr">
        <is>
          <t>also fires COUSINS!, GERMAIN!</t>
        </is>
      </c>
      <c r="Q46" s="8" t="inlineStr">
        <is>
          <t>Blackjack</t>
        </is>
      </c>
      <c r="R46" s="6" t="inlineStr">
        <is>
          <t>No blurb. Also triple-fires - see the Collisions sheet.</t>
        </is>
      </c>
    </row>
    <row r="47">
      <c r="A47" s="6" t="n">
        <v>46</v>
      </c>
      <c r="B47" s="6" t="inlineStr">
        <is>
          <t>jackpot</t>
        </is>
      </c>
      <c r="C47" s="6" t="inlineStr">
        <is>
          <t>JACKPOT!</t>
        </is>
      </c>
      <c r="D47" s="6" t="inlineStr">
        <is>
          <t>Culture</t>
        </is>
      </c>
      <c r="E47" s="6" t="inlineStr">
        <is>
          <t>Meme</t>
        </is>
      </c>
      <c r="F47" s="7" t="inlineStr">
        <is>
          <t>KEEP</t>
        </is>
      </c>
      <c r="G47" s="6" t="inlineStr">
        <is>
          <t>Y</t>
        </is>
      </c>
      <c r="H47" s="6" t="inlineStr"/>
      <c r="I47" s="6" t="inlineStr">
        <is>
          <t>select exactly {3, 7, 37}</t>
        </is>
      </c>
      <c r="J47" s="6" t="inlineStr">
        <is>
          <t>-three of a kind-</t>
        </is>
      </c>
      <c r="K47" s="6" t="inlineStr"/>
      <c r="L47" s="6" t="inlineStr">
        <is>
          <t>777</t>
        </is>
      </c>
      <c r="M47" s="6" t="inlineStr"/>
      <c r="N47" s="6" t="inlineStr">
        <is>
          <t>New nodes</t>
        </is>
      </c>
      <c r="O47" s="6" t="inlineStr">
        <is>
          <t>Open</t>
        </is>
      </c>
      <c r="P47" s="6" t="inlineStr"/>
      <c r="Q47" s="8" t="inlineStr">
        <is>
          <t>Slot machine</t>
        </is>
      </c>
      <c r="R47" s="6" t="inlineStr"/>
    </row>
    <row r="48">
      <c r="A48" s="6" t="n">
        <v>47</v>
      </c>
      <c r="B48" s="6" t="inlineStr">
        <is>
          <t>heinz</t>
        </is>
      </c>
      <c r="C48" s="6" t="inlineStr">
        <is>
          <t>HEINZ!</t>
        </is>
      </c>
      <c r="D48" s="6" t="inlineStr">
        <is>
          <t>Culture</t>
        </is>
      </c>
      <c r="E48" s="6" t="inlineStr">
        <is>
          <t>Meme</t>
        </is>
      </c>
      <c r="F48" s="7" t="inlineStr">
        <is>
          <t>KEEP</t>
        </is>
      </c>
      <c r="G48" s="6" t="inlineStr">
        <is>
          <t>Y</t>
        </is>
      </c>
      <c r="H48" s="6" t="inlineStr"/>
      <c r="I48" s="6" t="inlineStr">
        <is>
          <t>select exactly {3, 19}</t>
        </is>
      </c>
      <c r="J48" s="6" t="inlineStr">
        <is>
          <t>-varieties-</t>
        </is>
      </c>
      <c r="K48" s="6" t="inlineStr"/>
      <c r="L48" s="6" t="inlineStr">
        <is>
          <t>57</t>
        </is>
      </c>
      <c r="M48" s="6" t="inlineStr"/>
      <c r="N48" s="6" t="inlineStr">
        <is>
          <t>New nodes</t>
        </is>
      </c>
      <c r="O48" s="6" t="inlineStr">
        <is>
          <t>Open</t>
        </is>
      </c>
      <c r="P48" s="6" t="inlineStr"/>
      <c r="Q48" s="8" t="inlineStr">
        <is>
          <t>57 (number)</t>
        </is>
      </c>
      <c r="R48" s="6" t="inlineStr">
        <is>
          <t>Strongest Meme entry: the Grothendieck-prime blurb turns a ketchup joke into a real "ahhh".</t>
        </is>
      </c>
    </row>
    <row r="49">
      <c r="A49" s="6" t="n">
        <v>48</v>
      </c>
      <c r="B49" s="6" t="inlineStr">
        <is>
          <t>slurpee</t>
        </is>
      </c>
      <c r="C49" s="6" t="inlineStr">
        <is>
          <t>SLURPEE!</t>
        </is>
      </c>
      <c r="D49" s="6" t="inlineStr">
        <is>
          <t>Culture</t>
        </is>
      </c>
      <c r="E49" s="6" t="inlineStr">
        <is>
          <t>Meme</t>
        </is>
      </c>
      <c r="F49" s="7" t="inlineStr">
        <is>
          <t>KEEP</t>
        </is>
      </c>
      <c r="G49" s="6" t="inlineStr">
        <is>
          <t>Y</t>
        </is>
      </c>
      <c r="H49" s="6" t="inlineStr"/>
      <c r="I49" s="6" t="inlineStr">
        <is>
          <t>select exactly {3, 79}</t>
        </is>
      </c>
      <c r="J49" s="6" t="inlineStr">
        <is>
          <t>-any time-</t>
        </is>
      </c>
      <c r="K49" s="6" t="inlineStr"/>
      <c r="L49" s="6" t="inlineStr">
        <is>
          <t>711</t>
        </is>
      </c>
      <c r="M49" s="6" t="inlineStr"/>
      <c r="N49" s="6" t="inlineStr">
        <is>
          <t>New nodes</t>
        </is>
      </c>
      <c r="O49" s="6" t="inlineStr">
        <is>
          <t>Open</t>
        </is>
      </c>
      <c r="P49" s="6" t="inlineStr"/>
      <c r="Q49" s="8" t="inlineStr">
        <is>
          <t>Slurpee</t>
        </is>
      </c>
      <c r="R49" s="6" t="inlineStr"/>
    </row>
    <row r="50">
      <c r="A50" s="6" t="n">
        <v>49</v>
      </c>
      <c r="B50" s="6" t="inlineStr">
        <is>
          <t>sparta</t>
        </is>
      </c>
      <c r="C50" s="6" t="inlineStr">
        <is>
          <t>SPARTA!</t>
        </is>
      </c>
      <c r="D50" s="6" t="inlineStr">
        <is>
          <t>Culture</t>
        </is>
      </c>
      <c r="E50" s="6" t="inlineStr">
        <is>
          <t>Meme</t>
        </is>
      </c>
      <c r="F50" s="7" t="inlineStr">
        <is>
          <t>KEEP</t>
        </is>
      </c>
      <c r="G50" s="6" t="inlineStr">
        <is>
          <t>Y</t>
        </is>
      </c>
      <c r="H50" s="6" t="inlineStr"/>
      <c r="I50" s="6" t="inlineStr">
        <is>
          <t>select exactly {2, 3, 5}</t>
        </is>
      </c>
      <c r="J50" s="6" t="inlineStr">
        <is>
          <t>-this is-</t>
        </is>
      </c>
      <c r="K50" s="6" t="inlineStr"/>
      <c r="L50" s="6" t="inlineStr">
        <is>
          <t>300</t>
        </is>
      </c>
      <c r="M50" s="6" t="inlineStr"/>
      <c r="N50" s="6" t="inlineStr">
        <is>
          <t>New nodes</t>
        </is>
      </c>
      <c r="O50" s="6" t="inlineStr">
        <is>
          <t>Open</t>
        </is>
      </c>
      <c r="P50" s="6" t="inlineStr"/>
      <c r="Q50" s="8" t="inlineStr">
        <is>
          <t>Battle of Thermopylae</t>
        </is>
      </c>
      <c r="R50" s="6" t="inlineStr"/>
    </row>
    <row r="51">
      <c r="A51" s="6" t="n">
        <v>50</v>
      </c>
      <c r="B51" s="6" t="inlineStr">
        <is>
          <t>jumbo</t>
        </is>
      </c>
      <c r="C51" s="6" t="inlineStr">
        <is>
          <t>JUMBO!</t>
        </is>
      </c>
      <c r="D51" s="6" t="inlineStr">
        <is>
          <t>Culture</t>
        </is>
      </c>
      <c r="E51" s="6" t="inlineStr">
        <is>
          <t>Meme</t>
        </is>
      </c>
      <c r="F51" s="7" t="inlineStr">
        <is>
          <t>KEEP</t>
        </is>
      </c>
      <c r="G51" s="6" t="inlineStr">
        <is>
          <t>Y</t>
        </is>
      </c>
      <c r="H51" s="6" t="inlineStr"/>
      <c r="I51" s="6" t="inlineStr">
        <is>
          <t>select exactly {3, 83}</t>
        </is>
      </c>
      <c r="J51" s="6" t="inlineStr">
        <is>
          <t>-upper deck-</t>
        </is>
      </c>
      <c r="K51" s="6" t="inlineStr"/>
      <c r="L51" s="6" t="inlineStr">
        <is>
          <t>747</t>
        </is>
      </c>
      <c r="M51" s="6" t="inlineStr"/>
      <c r="N51" s="6" t="inlineStr">
        <is>
          <t>New nodes</t>
        </is>
      </c>
      <c r="O51" s="6" t="inlineStr">
        <is>
          <t>Open</t>
        </is>
      </c>
      <c r="P51" s="6" t="inlineStr"/>
      <c r="Q51" s="8" t="inlineStr">
        <is>
          <t>Boeing 747</t>
        </is>
      </c>
      <c r="R51" s="6" t="inlineStr"/>
    </row>
    <row r="52">
      <c r="A52" s="6" t="n">
        <v>51</v>
      </c>
      <c r="B52" s="6" t="inlineStr">
        <is>
          <t>deck</t>
        </is>
      </c>
      <c r="C52" s="6" t="inlineStr">
        <is>
          <t>DECK!</t>
        </is>
      </c>
      <c r="D52" s="6" t="inlineStr">
        <is>
          <t>Culture</t>
        </is>
      </c>
      <c r="E52" s="6" t="inlineStr">
        <is>
          <t>Meme</t>
        </is>
      </c>
      <c r="F52" s="7" t="inlineStr">
        <is>
          <t>KEEP</t>
        </is>
      </c>
      <c r="G52" s="6" t="inlineStr">
        <is>
          <t>Y</t>
        </is>
      </c>
      <c r="H52" s="6" t="inlineStr"/>
      <c r="I52" s="6" t="inlineStr">
        <is>
          <t>select exactly {2, 13}</t>
        </is>
      </c>
      <c r="J52" s="6" t="inlineStr">
        <is>
          <t>-a full one-</t>
        </is>
      </c>
      <c r="K52" s="6" t="inlineStr"/>
      <c r="L52" s="6" t="inlineStr">
        <is>
          <t>52</t>
        </is>
      </c>
      <c r="M52" s="6" t="inlineStr"/>
      <c r="N52" s="6" t="inlineStr">
        <is>
          <t>New nodes</t>
        </is>
      </c>
      <c r="O52" s="6" t="inlineStr">
        <is>
          <t>Open</t>
        </is>
      </c>
      <c r="P52" s="6" t="inlineStr"/>
      <c r="Q52" s="8" t="inlineStr">
        <is>
          <t>Standard 52-card deck</t>
        </is>
      </c>
      <c r="R52" s="6" t="inlineStr">
        <is>
          <t>52 = four suits of thirteen. Clean.</t>
        </is>
      </c>
    </row>
    <row r="53">
      <c r="A53" s="6" t="n">
        <v>52</v>
      </c>
      <c r="B53" s="6" t="inlineStr">
        <is>
          <t>beast</t>
        </is>
      </c>
      <c r="C53" s="6" t="inlineStr">
        <is>
          <t>BEAST!</t>
        </is>
      </c>
      <c r="D53" s="6" t="inlineStr">
        <is>
          <t>Culture</t>
        </is>
      </c>
      <c r="E53" s="6" t="inlineStr">
        <is>
          <t>Lore</t>
        </is>
      </c>
      <c r="F53" s="7" t="inlineStr">
        <is>
          <t>KEEP</t>
        </is>
      </c>
      <c r="G53" s="6" t="inlineStr">
        <is>
          <t>Y</t>
        </is>
      </c>
      <c r="H53" s="6" t="inlineStr"/>
      <c r="I53" s="6" t="inlineStr">
        <is>
          <t>select exactly {2, 3, 37}</t>
        </is>
      </c>
      <c r="J53" s="6" t="inlineStr">
        <is>
          <t>-number of a man-</t>
        </is>
      </c>
      <c r="K53" s="6" t="inlineStr"/>
      <c r="L53" s="6" t="inlineStr">
        <is>
          <t>666</t>
        </is>
      </c>
      <c r="M53" s="6" t="inlineStr"/>
      <c r="N53" s="6" t="inlineStr">
        <is>
          <t>New nodes</t>
        </is>
      </c>
      <c r="O53" s="6" t="inlineStr">
        <is>
          <t>Open</t>
        </is>
      </c>
      <c r="P53" s="6" t="inlineStr"/>
      <c r="Q53" s="8" t="inlineStr">
        <is>
          <t>Number of the beast</t>
        </is>
      </c>
      <c r="R53" s="6" t="inlineStr">
        <is>
          <t>Flagship decomposition: three curves converging on 666.</t>
        </is>
      </c>
    </row>
    <row r="54">
      <c r="A54" s="6" t="n">
        <v>53</v>
      </c>
      <c r="B54" s="6" t="inlineStr">
        <is>
          <t>angel</t>
        </is>
      </c>
      <c r="C54" s="6" t="inlineStr">
        <is>
          <t>ANGEL!</t>
        </is>
      </c>
      <c r="D54" s="6" t="inlineStr">
        <is>
          <t>Culture</t>
        </is>
      </c>
      <c r="E54" s="6" t="inlineStr">
        <is>
          <t>Lore</t>
        </is>
      </c>
      <c r="F54" s="7" t="inlineStr">
        <is>
          <t>KEEP</t>
        </is>
      </c>
      <c r="G54" s="6" t="inlineStr">
        <is>
          <t>Y</t>
        </is>
      </c>
      <c r="H54" s="6" t="inlineStr"/>
      <c r="I54" s="6" t="inlineStr">
        <is>
          <t>select exactly {2, 3, 5, 7, 37}</t>
        </is>
      </c>
      <c r="J54" s="6" t="inlineStr">
        <is>
          <t>-a repeating message-</t>
        </is>
      </c>
      <c r="K54" s="6" t="inlineStr"/>
      <c r="L54" s="6" t="inlineStr">
        <is>
          <t>111, 222, 333, 444, 555 ... (9 nodes)</t>
        </is>
      </c>
      <c r="M54" s="6" t="inlineStr"/>
      <c r="N54" s="6" t="inlineStr">
        <is>
          <t>Pattern</t>
        </is>
      </c>
      <c r="O54" s="6" t="inlineStr">
        <is>
          <t>Open</t>
        </is>
      </c>
      <c r="P54" s="6" t="inlineStr"/>
      <c r="Q54" s="8" t="inlineStr">
        <is>
          <t>Repdigit</t>
        </is>
      </c>
      <c r="R54" s="6" t="inlineStr">
        <is>
          <t>Excellent. Nine repdigits appear, and the blurb explains why 37 is hiding inside all of them.</t>
        </is>
      </c>
    </row>
    <row r="55">
      <c r="A55" s="6" t="n">
        <v>54</v>
      </c>
      <c r="B55" s="6" t="inlineStr">
        <is>
          <t>lucky</t>
        </is>
      </c>
      <c r="C55" s="6" t="inlineStr">
        <is>
          <t>LUCKY!</t>
        </is>
      </c>
      <c r="D55" s="6" t="inlineStr">
        <is>
          <t>Culture</t>
        </is>
      </c>
      <c r="E55" s="6" t="inlineStr">
        <is>
          <t>Lore</t>
        </is>
      </c>
      <c r="F55" s="7" t="inlineStr">
        <is>
          <t>KEEP</t>
        </is>
      </c>
      <c r="G55" s="6" t="inlineStr">
        <is>
          <t>Y</t>
        </is>
      </c>
      <c r="H55" s="6" t="inlineStr"/>
      <c r="I55" s="6" t="inlineStr">
        <is>
          <t>select exactly {7}</t>
        </is>
      </c>
      <c r="J55" s="6" t="inlineStr">
        <is>
          <t>-*th heaven-</t>
        </is>
      </c>
      <c r="K55" s="6" t="inlineStr"/>
      <c r="L55" s="6" t="inlineStr">
        <is>
          <t>7</t>
        </is>
      </c>
      <c r="M55" s="6" t="inlineStr"/>
      <c r="N55" s="6" t="inlineStr">
        <is>
          <t>Joke</t>
        </is>
      </c>
      <c r="O55" s="6" t="inlineStr">
        <is>
          <t>Open</t>
        </is>
      </c>
      <c r="P55" s="6" t="inlineStr"/>
      <c r="Q55" s="8" t="inlineStr">
        <is>
          <t>7</t>
        </is>
      </c>
      <c r="R55" s="6" t="inlineStr"/>
    </row>
    <row r="56">
      <c r="A56" s="6" t="n">
        <v>55</v>
      </c>
      <c r="B56" s="6" t="inlineStr">
        <is>
          <t>unlucky</t>
        </is>
      </c>
      <c r="C56" s="6" t="inlineStr">
        <is>
          <t>UNLUCKY!</t>
        </is>
      </c>
      <c r="D56" s="6" t="inlineStr">
        <is>
          <t>Culture</t>
        </is>
      </c>
      <c r="E56" s="6" t="inlineStr">
        <is>
          <t>Lore</t>
        </is>
      </c>
      <c r="F56" s="7" t="inlineStr">
        <is>
          <t>KEEP</t>
        </is>
      </c>
      <c r="G56" s="6" t="inlineStr">
        <is>
          <t>Y</t>
        </is>
      </c>
      <c r="H56" s="6" t="inlineStr"/>
      <c r="I56" s="6" t="inlineStr">
        <is>
          <t>select exactly {13}</t>
        </is>
      </c>
      <c r="J56" s="6" t="inlineStr">
        <is>
          <t>-fourteenth floor-</t>
        </is>
      </c>
      <c r="K56" s="6" t="inlineStr"/>
      <c r="L56" s="6" t="inlineStr">
        <is>
          <t>13</t>
        </is>
      </c>
      <c r="M56" s="6" t="inlineStr"/>
      <c r="N56" s="6" t="inlineStr">
        <is>
          <t>Joke</t>
        </is>
      </c>
      <c r="O56" s="6" t="inlineStr">
        <is>
          <t>Open</t>
        </is>
      </c>
      <c r="P56" s="6" t="inlineStr"/>
      <c r="Q56" s="8" t="inlineStr">
        <is>
          <t>Triskaidekaphobia</t>
        </is>
      </c>
      <c r="R56" s="6" t="inlineStr"/>
    </row>
    <row r="57">
      <c r="A57" s="6" t="n">
        <v>56</v>
      </c>
      <c r="B57" s="6" t="inlineStr">
        <is>
          <t>enigma</t>
        </is>
      </c>
      <c r="C57" s="6" t="inlineStr">
        <is>
          <t>ENIGMA!</t>
        </is>
      </c>
      <c r="D57" s="6" t="inlineStr">
        <is>
          <t>Culture</t>
        </is>
      </c>
      <c r="E57" s="6" t="inlineStr">
        <is>
          <t>Lore</t>
        </is>
      </c>
      <c r="F57" s="7" t="inlineStr">
        <is>
          <t>KEEP</t>
        </is>
      </c>
      <c r="G57" s="6" t="inlineStr">
        <is>
          <t>Y</t>
        </is>
      </c>
      <c r="H57" s="6" t="inlineStr"/>
      <c r="I57" s="6" t="inlineStr">
        <is>
          <t>select exactly {5}</t>
        </is>
      </c>
      <c r="J57" s="6" t="inlineStr">
        <is>
          <t>-fnord-</t>
        </is>
      </c>
      <c r="K57" s="6" t="inlineStr"/>
      <c r="L57" s="6" t="inlineStr">
        <is>
          <t>23</t>
        </is>
      </c>
      <c r="M57" s="6" t="inlineStr"/>
      <c r="N57" s="6" t="inlineStr">
        <is>
          <t>Joke</t>
        </is>
      </c>
      <c r="O57" s="6" t="inlineStr">
        <is>
          <t>Lookup</t>
        </is>
      </c>
      <c r="P57" s="6" t="inlineStr"/>
      <c r="Q57" s="8" t="inlineStr">
        <is>
          <t>23 enigma</t>
        </is>
      </c>
      <c r="R57" s="6" t="inlineStr">
        <is>
          <t>Documented exception (§6). Do not "correct" it. No blurb.</t>
        </is>
      </c>
    </row>
    <row r="58">
      <c r="A58" s="6" t="n">
        <v>57</v>
      </c>
      <c r="B58" s="6" t="inlineStr">
        <is>
          <t>masonic</t>
        </is>
      </c>
      <c r="C58" s="6" t="inlineStr">
        <is>
          <t>MASONIC!</t>
        </is>
      </c>
      <c r="D58" s="6" t="inlineStr">
        <is>
          <t>Culture</t>
        </is>
      </c>
      <c r="E58" s="6" t="inlineStr">
        <is>
          <t>Lore</t>
        </is>
      </c>
      <c r="F58" s="7" t="inlineStr">
        <is>
          <t>KEEP</t>
        </is>
      </c>
      <c r="G58" s="6" t="inlineStr">
        <is>
          <t>Y</t>
        </is>
      </c>
      <c r="H58" s="6" t="inlineStr"/>
      <c r="I58" s="6" t="inlineStr">
        <is>
          <t>select exactly {3, 11}</t>
        </is>
      </c>
      <c r="J58" s="6" t="inlineStr">
        <is>
          <t>-the highest degree-</t>
        </is>
      </c>
      <c r="K58" s="6" t="inlineStr"/>
      <c r="L58" s="6" t="inlineStr">
        <is>
          <t>33</t>
        </is>
      </c>
      <c r="M58" s="6" t="inlineStr"/>
      <c r="N58" s="6" t="inlineStr">
        <is>
          <t>New nodes</t>
        </is>
      </c>
      <c r="O58" s="6" t="inlineStr">
        <is>
          <t>Lookup</t>
        </is>
      </c>
      <c r="P58" s="6" t="inlineStr"/>
      <c r="Q58" s="8" t="inlineStr">
        <is>
          <t>Scottish Rite</t>
        </is>
      </c>
      <c r="R58" s="6" t="inlineStr">
        <is>
          <t>No blurb.</t>
        </is>
      </c>
    </row>
    <row r="59">
      <c r="A59" s="6" t="n">
        <v>58</v>
      </c>
      <c r="B59" s="6" t="inlineStr">
        <is>
          <t>thelema</t>
        </is>
      </c>
      <c r="C59" s="6" t="inlineStr">
        <is>
          <t>WHOLE!</t>
        </is>
      </c>
      <c r="D59" s="6" t="inlineStr">
        <is>
          <t>Culture</t>
        </is>
      </c>
      <c r="E59" s="6" t="inlineStr">
        <is>
          <t>Lore</t>
        </is>
      </c>
      <c r="F59" s="7" t="inlineStr">
        <is>
          <t>KEEP</t>
        </is>
      </c>
      <c r="G59" s="6" t="inlineStr">
        <is>
          <t>Y</t>
        </is>
      </c>
      <c r="H59" s="6" t="inlineStr"/>
      <c r="I59" s="6" t="inlineStr">
        <is>
          <t>select exactly {3, 31}</t>
        </is>
      </c>
      <c r="J59" s="6" t="inlineStr">
        <is>
          <t>-do what thou wilt-</t>
        </is>
      </c>
      <c r="K59" s="6" t="inlineStr"/>
      <c r="L59" s="6" t="inlineStr">
        <is>
          <t>93</t>
        </is>
      </c>
      <c r="M59" s="6" t="inlineStr"/>
      <c r="N59" s="6" t="inlineStr">
        <is>
          <t>New nodes</t>
        </is>
      </c>
      <c r="O59" s="6" t="inlineStr">
        <is>
          <t>Closed</t>
        </is>
      </c>
      <c r="P59" s="6" t="inlineStr"/>
      <c r="Q59" s="8" t="inlineStr">
        <is>
          <t>Thelema</t>
        </is>
      </c>
      <c r="R59" s="6" t="inlineStr">
        <is>
          <t>Thelema - the most inside reference in the list, and it has NO blurb. A player who does not already know gets "-do what thou wilt-" and the number 93, with no way to close the gap. Highest-priority blurb in the whole set.</t>
        </is>
      </c>
    </row>
    <row r="60">
      <c r="A60" s="6" t="n">
        <v>59</v>
      </c>
      <c r="B60" s="6" t="inlineStr">
        <is>
          <t>other-beast</t>
        </is>
      </c>
      <c r="C60" s="6" t="inlineStr">
        <is>
          <t>OTHER BEAST!</t>
        </is>
      </c>
      <c r="D60" s="6" t="inlineStr">
        <is>
          <t>Culture</t>
        </is>
      </c>
      <c r="E60" s="6" t="inlineStr">
        <is>
          <t>Lore</t>
        </is>
      </c>
      <c r="F60" s="7" t="inlineStr">
        <is>
          <t>KEEP</t>
        </is>
      </c>
      <c r="G60" s="6" t="inlineStr">
        <is>
          <t>Y</t>
        </is>
      </c>
      <c r="H60" s="6" t="inlineStr"/>
      <c r="I60" s="6" t="inlineStr">
        <is>
          <t>select exactly {2, 7, 11}</t>
        </is>
      </c>
      <c r="J60" s="6" t="inlineStr">
        <is>
          <t>-the older manuscript-</t>
        </is>
      </c>
      <c r="K60" s="6" t="inlineStr"/>
      <c r="L60" s="6" t="inlineStr">
        <is>
          <t>616</t>
        </is>
      </c>
      <c r="M60" s="6" t="inlineStr"/>
      <c r="N60" s="6" t="inlineStr">
        <is>
          <t>New nodes</t>
        </is>
      </c>
      <c r="O60" s="6" t="inlineStr">
        <is>
          <t>Lookup</t>
        </is>
      </c>
      <c r="P60" s="6" t="inlineStr"/>
      <c r="Q60" s="8" t="inlineStr">
        <is>
          <t>Number of the beast</t>
        </is>
      </c>
      <c r="R60" s="6" t="inlineStr">
        <is>
          <t>Good pairing with BEAST!.</t>
        </is>
      </c>
    </row>
    <row r="61">
      <c r="A61" s="6" t="n">
        <v>60</v>
      </c>
      <c r="B61" s="6" t="inlineStr">
        <is>
          <t>rest</t>
        </is>
      </c>
      <c r="C61" s="6" t="inlineStr">
        <is>
          <t>REST!</t>
        </is>
      </c>
      <c r="D61" s="6" t="inlineStr">
        <is>
          <t>Culture</t>
        </is>
      </c>
      <c r="E61" s="6" t="inlineStr">
        <is>
          <t>Lore</t>
        </is>
      </c>
      <c r="F61" s="7" t="inlineStr">
        <is>
          <t>KEEP</t>
        </is>
      </c>
      <c r="G61" s="6" t="inlineStr">
        <is>
          <t>Y</t>
        </is>
      </c>
      <c r="H61" s="6" t="inlineStr"/>
      <c r="I61" s="6" t="inlineStr">
        <is>
          <t>dom</t>
        </is>
      </c>
      <c r="J61" s="6" t="inlineStr">
        <is>
          <t>-gotta take breaks-</t>
        </is>
      </c>
      <c r="K61" s="6" t="inlineStr"/>
      <c r="L61" s="6" t="inlineStr">
        <is>
          <t>7, 14, 21, 28, 35 ... (142 nodes)</t>
        </is>
      </c>
      <c r="M61" s="6" t="inlineStr"/>
      <c r="N61" s="6" t="inlineStr">
        <is>
          <t>Pattern</t>
        </is>
      </c>
      <c r="O61" s="6" t="inlineStr">
        <is>
          <t>Open</t>
        </is>
      </c>
      <c r="P61" s="6" t="inlineStr"/>
      <c r="Q61" s="8" t="inlineStr">
        <is>
          <t>Sabbath</t>
        </is>
      </c>
      <c r="R61" s="6" t="inlineStr">
        <is>
          <t>Largest gild in the list (142). Worth knowing that it is tutorial-shaped - the only thing pointing at the transport bar - wearing a Lore costume.</t>
        </is>
      </c>
    </row>
    <row r="62">
      <c r="A62" s="6" t="n">
        <v>61</v>
      </c>
      <c r="B62" s="6" t="inlineStr">
        <is>
          <t>eightfold</t>
        </is>
      </c>
      <c r="C62" s="6" t="inlineStr">
        <is>
          <t>SIT!</t>
        </is>
      </c>
      <c r="D62" s="6" t="inlineStr">
        <is>
          <t>Culture</t>
        </is>
      </c>
      <c r="E62" s="6" t="inlineStr">
        <is>
          <t>Lore</t>
        </is>
      </c>
      <c r="F62" s="7" t="inlineStr">
        <is>
          <t>KEEP</t>
        </is>
      </c>
      <c r="G62" s="6" t="inlineStr">
        <is>
          <t>Y</t>
        </is>
      </c>
      <c r="H62" s="6" t="inlineStr"/>
      <c r="I62" s="6" t="inlineStr">
        <is>
          <t>range = 8</t>
        </is>
      </c>
      <c r="J62" s="6" t="inlineStr">
        <is>
          <t>-the middle way-</t>
        </is>
      </c>
      <c r="K62" s="6" t="inlineStr"/>
      <c r="L62" s="6" t="inlineStr">
        <is>
          <t>8</t>
        </is>
      </c>
      <c r="M62" s="6" t="inlineStr"/>
      <c r="N62" s="6" t="inlineStr">
        <is>
          <t>Joke</t>
        </is>
      </c>
      <c r="O62" s="6" t="inlineStr">
        <is>
          <t>Lookup</t>
        </is>
      </c>
      <c r="P62" s="6" t="inlineStr"/>
      <c r="Q62" s="8" t="inlineStr">
        <is>
          <t>Noble Eightfold Path</t>
        </is>
      </c>
      <c r="R62" s="6" t="inlineStr">
        <is>
          <t>Documented range-trigger exception (§6).</t>
        </is>
      </c>
    </row>
    <row r="63">
      <c r="A63" s="6" t="n">
        <v>62</v>
      </c>
      <c r="B63" s="6" t="inlineStr">
        <is>
          <t>sator</t>
        </is>
      </c>
      <c r="C63" s="6" t="inlineStr">
        <is>
          <t>SATOR!</t>
        </is>
      </c>
      <c r="D63" s="6" t="inlineStr">
        <is>
          <t>Culture</t>
        </is>
      </c>
      <c r="E63" s="6" t="inlineStr">
        <is>
          <t>Lore</t>
        </is>
      </c>
      <c r="F63" s="10" t="inlineStr">
        <is>
          <t>FIX-GILD</t>
        </is>
      </c>
      <c r="G63" s="6" t="inlineStr">
        <is>
          <t>Y</t>
        </is>
      </c>
      <c r="H63" s="6" t="inlineStr"/>
      <c r="I63" s="6" t="inlineStr">
        <is>
          <t>select exactly {2, 3, 5, 7, 11, 101, 131}</t>
        </is>
      </c>
      <c r="J63" s="6" t="inlineStr">
        <is>
          <t>-reads the same every way-</t>
        </is>
      </c>
      <c r="K63" s="6" t="inlineStr"/>
      <c r="L63" s="6" t="inlineStr">
        <is>
          <t>25</t>
        </is>
      </c>
      <c r="M63" s="6" t="inlineStr">
        <is>
          <t>all 108 palindromic numbers under 1000</t>
        </is>
      </c>
      <c r="N63" s="6" t="inlineStr">
        <is>
          <t>Self</t>
        </is>
      </c>
      <c r="O63" s="6" t="inlineStr">
        <is>
          <t>Lookup</t>
        </is>
      </c>
      <c r="P63" s="6" t="inlineStr"/>
      <c r="Q63" s="8" t="inlineStr">
        <is>
          <t>Sator Square</t>
        </is>
      </c>
      <c r="R63" s="6" t="inlineStr">
        <is>
          <t>Textbook "huh... yeah I guess": seven taps of palindromic primes to light ONE node, 25, because the word square has 25 letters. Gilding every palindrome under 1000 keeps the same idea and pays it off as a pattern you can see - and "reads the same every way" then describes the result as well as the trigger.</t>
        </is>
      </c>
    </row>
    <row r="64">
      <c r="A64" s="6" t="n">
        <v>63</v>
      </c>
      <c r="B64" s="6" t="inlineStr">
        <is>
          <t>choirs</t>
        </is>
      </c>
      <c r="C64" s="6" t="inlineStr">
        <is>
          <t>CHOIRS!</t>
        </is>
      </c>
      <c r="D64" s="6" t="inlineStr">
        <is>
          <t>Culture</t>
        </is>
      </c>
      <c r="E64" s="6" t="inlineStr">
        <is>
          <t>Lore</t>
        </is>
      </c>
      <c r="F64" s="7" t="inlineStr">
        <is>
          <t>KEEP</t>
        </is>
      </c>
      <c r="G64" s="6" t="inlineStr">
        <is>
          <t>Y</t>
        </is>
      </c>
      <c r="H64" s="6" t="inlineStr"/>
      <c r="I64" s="6" t="inlineStr">
        <is>
          <t>select exactly {3}</t>
        </is>
      </c>
      <c r="J64" s="6" t="inlineStr">
        <is>
          <t>-nine ranks of them-</t>
        </is>
      </c>
      <c r="K64" s="6" t="inlineStr"/>
      <c r="L64" s="6" t="inlineStr">
        <is>
          <t>9</t>
        </is>
      </c>
      <c r="M64" s="6" t="inlineStr"/>
      <c r="N64" s="6" t="inlineStr">
        <is>
          <t>New nodes</t>
        </is>
      </c>
      <c r="O64" s="6" t="inlineStr">
        <is>
          <t>Lookup</t>
        </is>
      </c>
      <c r="P64" s="6" t="inlineStr"/>
      <c r="Q64" s="8" t="inlineStr">
        <is>
          <t>Hierarchy of angels</t>
        </is>
      </c>
      <c r="R64" s="6" t="inlineStr"/>
    </row>
    <row r="65">
      <c r="A65" s="6" t="n">
        <v>64</v>
      </c>
      <c r="B65" s="6" t="inlineStr">
        <is>
          <t>not-found</t>
        </is>
      </c>
      <c r="C65" s="6" t="inlineStr">
        <is>
          <t>NOT FOUND!</t>
        </is>
      </c>
      <c r="D65" s="6" t="inlineStr">
        <is>
          <t>Culture</t>
        </is>
      </c>
      <c r="E65" s="6" t="inlineStr">
        <is>
          <t>Geek</t>
        </is>
      </c>
      <c r="F65" s="7" t="inlineStr">
        <is>
          <t>KEEP</t>
        </is>
      </c>
      <c r="G65" s="6" t="inlineStr">
        <is>
          <t>Y</t>
        </is>
      </c>
      <c r="H65" s="6" t="inlineStr"/>
      <c r="I65" s="6" t="inlineStr">
        <is>
          <t>select exactly {2, 101}</t>
        </is>
      </c>
      <c r="J65" s="6" t="inlineStr">
        <is>
          <t>-missing-</t>
        </is>
      </c>
      <c r="K65" s="6" t="inlineStr"/>
      <c r="L65" s="6" t="inlineStr">
        <is>
          <t>404</t>
        </is>
      </c>
      <c r="M65" s="6" t="inlineStr"/>
      <c r="N65" s="6" t="inlineStr">
        <is>
          <t>New nodes</t>
        </is>
      </c>
      <c r="O65" s="6" t="inlineStr">
        <is>
          <t>Open</t>
        </is>
      </c>
      <c r="P65" s="6" t="inlineStr"/>
      <c r="Q65" s="8" t="inlineStr">
        <is>
          <t>HTTP 404</t>
        </is>
      </c>
      <c r="R65" s="6" t="inlineStr"/>
    </row>
    <row r="66">
      <c r="A66" s="6" t="n">
        <v>65</v>
      </c>
      <c r="B66" s="6" t="inlineStr">
        <is>
          <t>teapot</t>
        </is>
      </c>
      <c r="C66" s="6" t="inlineStr">
        <is>
          <t>TEAPOT!</t>
        </is>
      </c>
      <c r="D66" s="6" t="inlineStr">
        <is>
          <t>Culture</t>
        </is>
      </c>
      <c r="E66" s="6" t="inlineStr">
        <is>
          <t>Geek</t>
        </is>
      </c>
      <c r="F66" s="7" t="inlineStr">
        <is>
          <t>KEEP</t>
        </is>
      </c>
      <c r="G66" s="6" t="inlineStr">
        <is>
          <t>Y</t>
        </is>
      </c>
      <c r="H66" s="6" t="inlineStr"/>
      <c r="I66" s="6" t="inlineStr">
        <is>
          <t>select exactly {2, 11, 19}</t>
        </is>
      </c>
      <c r="J66" s="6" t="inlineStr">
        <is>
          <t>-short and stout-</t>
        </is>
      </c>
      <c r="K66" s="6" t="inlineStr"/>
      <c r="L66" s="6" t="inlineStr">
        <is>
          <t>418</t>
        </is>
      </c>
      <c r="M66" s="6" t="inlineStr"/>
      <c r="N66" s="6" t="inlineStr">
        <is>
          <t>New nodes</t>
        </is>
      </c>
      <c r="O66" s="6" t="inlineStr">
        <is>
          <t>Open</t>
        </is>
      </c>
      <c r="P66" s="6" t="inlineStr"/>
      <c r="Q66" s="8" t="inlineStr">
        <is>
          <t>Hyper Text Coffee Pot Control Protocol</t>
        </is>
      </c>
      <c r="R66" s="6" t="inlineStr">
        <is>
          <t>HTTP 418. Good blurb.</t>
        </is>
      </c>
    </row>
    <row r="67">
      <c r="A67" s="6" t="n">
        <v>66</v>
      </c>
      <c r="B67" s="6" t="inlineStr">
        <is>
          <t>bradbury</t>
        </is>
      </c>
      <c r="C67" s="6" t="inlineStr">
        <is>
          <t>BRADBURY!</t>
        </is>
      </c>
      <c r="D67" s="6" t="inlineStr">
        <is>
          <t>Culture</t>
        </is>
      </c>
      <c r="E67" s="6" t="inlineStr">
        <is>
          <t>Geek</t>
        </is>
      </c>
      <c r="F67" s="7" t="inlineStr">
        <is>
          <t>KEEP</t>
        </is>
      </c>
      <c r="G67" s="6" t="inlineStr">
        <is>
          <t>Y</t>
        </is>
      </c>
      <c r="H67" s="6" t="inlineStr"/>
      <c r="I67" s="6" t="inlineStr">
        <is>
          <t>select exactly {11, 41}</t>
        </is>
      </c>
      <c r="J67" s="6" t="inlineStr">
        <is>
          <t>-burning point-</t>
        </is>
      </c>
      <c r="K67" s="6" t="inlineStr"/>
      <c r="L67" s="6" t="inlineStr">
        <is>
          <t>451</t>
        </is>
      </c>
      <c r="M67" s="6" t="inlineStr"/>
      <c r="N67" s="6" t="inlineStr">
        <is>
          <t>New nodes</t>
        </is>
      </c>
      <c r="O67" s="6" t="inlineStr">
        <is>
          <t>Open</t>
        </is>
      </c>
      <c r="P67" s="6" t="inlineStr"/>
      <c r="Q67" s="8" t="inlineStr">
        <is>
          <t>Fahrenheit 451</t>
        </is>
      </c>
      <c r="R67" s="6" t="inlineStr"/>
    </row>
    <row r="68">
      <c r="A68" s="6" t="n">
        <v>67</v>
      </c>
      <c r="B68" s="6" t="inlineStr">
        <is>
          <t>trek</t>
        </is>
      </c>
      <c r="C68" s="6" t="inlineStr">
        <is>
          <t>1701!</t>
        </is>
      </c>
      <c r="D68" s="6" t="inlineStr">
        <is>
          <t>Culture</t>
        </is>
      </c>
      <c r="E68" s="6" t="inlineStr">
        <is>
          <t>Geek</t>
        </is>
      </c>
      <c r="F68" s="7" t="inlineStr">
        <is>
          <t>KEEP</t>
        </is>
      </c>
      <c r="G68" s="6" t="inlineStr">
        <is>
          <t>Y</t>
        </is>
      </c>
      <c r="H68" s="6" t="inlineStr"/>
      <c r="I68" s="6" t="inlineStr">
        <is>
          <t>select exactly {47}</t>
        </is>
      </c>
      <c r="J68" s="6" t="inlineStr">
        <is>
          <t>-deck 47, sector 47-</t>
        </is>
      </c>
      <c r="K68" s="6" t="inlineStr"/>
      <c r="L68" s="6" t="inlineStr">
        <is>
          <t>47</t>
        </is>
      </c>
      <c r="M68" s="6" t="inlineStr"/>
      <c r="N68" s="6" t="inlineStr">
        <is>
          <t>Joke</t>
        </is>
      </c>
      <c r="O68" s="6" t="inlineStr">
        <is>
          <t>Lookup</t>
        </is>
      </c>
      <c r="P68" s="6" t="inlineStr"/>
      <c r="Q68" s="8" t="inlineStr">
        <is>
          <t>47 (number)</t>
        </is>
      </c>
      <c r="R68" s="6" t="inlineStr">
        <is>
          <t>id is `trek`, display name is 1701! - see §3. Do not "tidy" the id.</t>
        </is>
      </c>
    </row>
    <row r="69">
      <c r="A69" s="6" t="n">
        <v>68</v>
      </c>
      <c r="B69" s="6" t="inlineStr">
        <is>
          <t>localhost</t>
        </is>
      </c>
      <c r="C69" s="6" t="inlineStr">
        <is>
          <t>LOCALHOST!</t>
        </is>
      </c>
      <c r="D69" s="6" t="inlineStr">
        <is>
          <t>Culture</t>
        </is>
      </c>
      <c r="E69" s="6" t="inlineStr">
        <is>
          <t>Geek</t>
        </is>
      </c>
      <c r="F69" s="7" t="inlineStr">
        <is>
          <t>KEEP</t>
        </is>
      </c>
      <c r="G69" s="6" t="inlineStr">
        <is>
          <t>Y</t>
        </is>
      </c>
      <c r="H69" s="6" t="inlineStr"/>
      <c r="I69" s="6" t="inlineStr">
        <is>
          <t>state</t>
        </is>
      </c>
      <c r="J69" s="6" t="inlineStr">
        <is>
          <t>-no place like it-</t>
        </is>
      </c>
      <c r="K69" s="6" t="inlineStr"/>
      <c r="L69" s="6" t="inlineStr">
        <is>
          <t>127</t>
        </is>
      </c>
      <c r="M69" s="6" t="inlineStr"/>
      <c r="N69" s="6" t="inlineStr">
        <is>
          <t>New nodes</t>
        </is>
      </c>
      <c r="O69" s="6" t="inlineStr">
        <is>
          <t>Open</t>
        </is>
      </c>
      <c r="P69" s="6" t="inlineStr"/>
      <c r="Q69" s="8" t="inlineStr">
        <is>
          <t>Localhost</t>
        </is>
      </c>
      <c r="R69" s="6" t="inlineStr"/>
    </row>
    <row r="70">
      <c r="A70" s="6" t="n">
        <v>69</v>
      </c>
      <c r="B70" s="6" t="inlineStr">
        <is>
          <t>rawr</t>
        </is>
      </c>
      <c r="C70" s="6" t="inlineStr">
        <is>
          <t>RAWR!</t>
        </is>
      </c>
      <c r="D70" s="6" t="inlineStr">
        <is>
          <t>Culture</t>
        </is>
      </c>
      <c r="E70" s="6" t="inlineStr">
        <is>
          <t>Geek</t>
        </is>
      </c>
      <c r="F70" s="7" t="inlineStr">
        <is>
          <t>KEEP</t>
        </is>
      </c>
      <c r="G70" s="6" t="inlineStr">
        <is>
          <t>Y</t>
        </is>
      </c>
      <c r="H70" s="6" t="inlineStr"/>
      <c r="I70" s="6" t="inlineStr">
        <is>
          <t>select exactly {17}</t>
        </is>
      </c>
      <c r="J70" s="6" t="inlineStr">
        <is>
          <t>-so random-</t>
        </is>
      </c>
      <c r="K70" s="6" t="inlineStr"/>
      <c r="L70" s="6" t="inlineStr">
        <is>
          <t>17</t>
        </is>
      </c>
      <c r="M70" s="6" t="inlineStr"/>
      <c r="N70" s="6" t="inlineStr">
        <is>
          <t>Joke</t>
        </is>
      </c>
      <c r="O70" s="6" t="inlineStr">
        <is>
          <t>Open</t>
        </is>
      </c>
      <c r="P70" s="6" t="inlineStr"/>
      <c r="Q70" s="8" t="inlineStr">
        <is>
          <t>17 (number)</t>
        </is>
      </c>
      <c r="R70" s="6" t="inlineStr"/>
    </row>
    <row r="71">
      <c r="A71" s="6" t="n">
        <v>70</v>
      </c>
      <c r="B71" s="6" t="inlineStr">
        <is>
          <t>best</t>
        </is>
      </c>
      <c r="C71" s="6" t="inlineStr">
        <is>
          <t>BEST!</t>
        </is>
      </c>
      <c r="D71" s="6" t="inlineStr">
        <is>
          <t>Culture</t>
        </is>
      </c>
      <c r="E71" s="6" t="inlineStr">
        <is>
          <t>Geek</t>
        </is>
      </c>
      <c r="F71" s="10" t="inlineStr">
        <is>
          <t>FIX-GILD</t>
        </is>
      </c>
      <c r="G71" s="6" t="inlineStr">
        <is>
          <t>Y</t>
        </is>
      </c>
      <c r="H71" s="6" t="inlineStr"/>
      <c r="I71" s="6" t="inlineStr">
        <is>
          <t>select exactly {37, 73}</t>
        </is>
      </c>
      <c r="J71" s="6" t="inlineStr">
        <is>
          <t>-the twenty-first, reflected-</t>
        </is>
      </c>
      <c r="K71" s="6" t="inlineStr"/>
      <c r="L71" s="6" t="inlineStr">
        <is>
          <t>37, 73</t>
        </is>
      </c>
      <c r="M71" s="6" t="inlineStr">
        <is>
          <t>12, 21, 37, 73</t>
        </is>
      </c>
      <c r="N71" s="6" t="inlineStr">
        <is>
          <t>Self</t>
        </is>
      </c>
      <c r="O71" s="6" t="inlineStr">
        <is>
          <t>Lookup</t>
        </is>
      </c>
      <c r="P71" s="12" t="inlineStr">
        <is>
          <t>also fires EMIRP!</t>
        </is>
      </c>
      <c r="Q71" s="8" t="inlineStr">
        <is>
          <t>73 (number)</t>
        </is>
      </c>
      <c r="R71" s="6" t="inlineStr">
        <is>
          <t>The blurb tells a four-number story - 73 is the 21st prime, 21 is 7x3, flip it to 37 which is the 12th, and 12 is 21 flipped - but it gilds only 37 and 73, the two you tapped. Gilding 12 and 21 as well draws the whole joke instead of half of it.</t>
        </is>
      </c>
    </row>
    <row r="72">
      <c r="A72" s="6" t="n">
        <v>71</v>
      </c>
      <c r="B72" s="6" t="inlineStr">
        <is>
          <t>concert-a</t>
        </is>
      </c>
      <c r="C72" s="6" t="inlineStr">
        <is>
          <t>CONCERT A!</t>
        </is>
      </c>
      <c r="D72" s="6" t="inlineStr">
        <is>
          <t>Culture</t>
        </is>
      </c>
      <c r="E72" s="6" t="inlineStr">
        <is>
          <t>Geek</t>
        </is>
      </c>
      <c r="F72" s="7" t="inlineStr">
        <is>
          <t>KEEP</t>
        </is>
      </c>
      <c r="G72" s="6" t="inlineStr">
        <is>
          <t>Y</t>
        </is>
      </c>
      <c r="H72" s="6" t="inlineStr"/>
      <c r="I72" s="6" t="inlineStr">
        <is>
          <t>select exactly {2, 5, 11}</t>
        </is>
      </c>
      <c r="J72" s="6" t="inlineStr">
        <is>
          <t>-tune up-</t>
        </is>
      </c>
      <c r="K72" s="6" t="inlineStr"/>
      <c r="L72" s="6" t="inlineStr">
        <is>
          <t>440</t>
        </is>
      </c>
      <c r="M72" s="6" t="inlineStr"/>
      <c r="N72" s="6" t="inlineStr">
        <is>
          <t>New nodes</t>
        </is>
      </c>
      <c r="O72" s="6" t="inlineStr">
        <is>
          <t>Open</t>
        </is>
      </c>
      <c r="P72" s="6" t="inlineStr"/>
      <c r="Q72" s="8" t="inlineStr">
        <is>
          <t>A440 (pitch standard)</t>
        </is>
      </c>
      <c r="R72" s="6" t="inlineStr"/>
    </row>
    <row r="73">
      <c r="A73" s="6" t="n">
        <v>72</v>
      </c>
      <c r="B73" s="6" t="inlineStr">
        <is>
          <t>lightspeed</t>
        </is>
      </c>
      <c r="C73" s="6" t="inlineStr">
        <is>
          <t>LIGHTSPEED!</t>
        </is>
      </c>
      <c r="D73" s="6" t="inlineStr">
        <is>
          <t>Culture</t>
        </is>
      </c>
      <c r="E73" s="6" t="inlineStr">
        <is>
          <t>Geek</t>
        </is>
      </c>
      <c r="F73" s="7" t="inlineStr">
        <is>
          <t>KEEP</t>
        </is>
      </c>
      <c r="G73" s="6" t="inlineStr">
        <is>
          <t>Y</t>
        </is>
      </c>
      <c r="H73" s="6" t="inlineStr"/>
      <c r="I73" s="6" t="inlineStr">
        <is>
          <t>select exactly {13, 23}</t>
        </is>
      </c>
      <c r="J73" s="6" t="inlineStr">
        <is>
          <t>-in a vacuum-</t>
        </is>
      </c>
      <c r="K73" s="6" t="inlineStr"/>
      <c r="L73" s="6" t="inlineStr">
        <is>
          <t>299</t>
        </is>
      </c>
      <c r="M73" s="6" t="inlineStr"/>
      <c r="N73" s="6" t="inlineStr">
        <is>
          <t>New nodes</t>
        </is>
      </c>
      <c r="O73" s="6" t="inlineStr">
        <is>
          <t>Open</t>
        </is>
      </c>
      <c r="P73" s="12" t="inlineStr">
        <is>
          <t>also fires SQUARE UP!</t>
        </is>
      </c>
      <c r="Q73" s="8" t="inlineStr">
        <is>
          <t>Speed of light</t>
        </is>
      </c>
      <c r="R73" s="6" t="inlineStr"/>
    </row>
    <row r="74">
      <c r="A74" s="6" t="n">
        <v>73</v>
      </c>
      <c r="B74" s="6" t="inlineStr">
        <is>
          <t>memory</t>
        </is>
      </c>
      <c r="C74" s="6" t="inlineStr">
        <is>
          <t>MEMORY!</t>
        </is>
      </c>
      <c r="D74" s="6" t="inlineStr">
        <is>
          <t>Culture</t>
        </is>
      </c>
      <c r="E74" s="6" t="inlineStr">
        <is>
          <t>Geek</t>
        </is>
      </c>
      <c r="F74" s="7" t="inlineStr">
        <is>
          <t>KEEP</t>
        </is>
      </c>
      <c r="G74" s="6" t="inlineStr">
        <is>
          <t>Y</t>
        </is>
      </c>
      <c r="H74" s="6" t="inlineStr"/>
      <c r="I74" s="6" t="inlineStr">
        <is>
          <t>select exactly {2, 5}</t>
        </is>
      </c>
      <c r="J74" s="6" t="inlineStr">
        <is>
          <t>-ought to be enough-</t>
        </is>
      </c>
      <c r="K74" s="6" t="inlineStr"/>
      <c r="L74" s="6" t="inlineStr">
        <is>
          <t>640</t>
        </is>
      </c>
      <c r="M74" s="6" t="inlineStr"/>
      <c r="N74" s="6" t="inlineStr">
        <is>
          <t>New nodes</t>
        </is>
      </c>
      <c r="O74" s="6" t="inlineStr">
        <is>
          <t>Open</t>
        </is>
      </c>
      <c r="P74" s="12" t="inlineStr">
        <is>
          <t>also fires GERMAIN!</t>
        </is>
      </c>
      <c r="Q74" s="8" t="inlineStr">
        <is>
          <t>Conventional memory</t>
        </is>
      </c>
      <c r="R74" s="6" t="inlineStr">
        <is>
          <t>Strong blurb - the quote Gates never said. Collides; see the Collisions sheet.</t>
        </is>
      </c>
    </row>
    <row r="75">
      <c r="A75" s="6" t="n">
        <v>74</v>
      </c>
      <c r="B75" s="6" t="inlineStr">
        <is>
          <t>skeleton</t>
        </is>
      </c>
      <c r="C75" s="6" t="inlineStr">
        <is>
          <t>SKELETON!</t>
        </is>
      </c>
      <c r="D75" s="6" t="inlineStr">
        <is>
          <t>Culture</t>
        </is>
      </c>
      <c r="E75" s="6" t="inlineStr">
        <is>
          <t>Geek</t>
        </is>
      </c>
      <c r="F75" s="7" t="inlineStr">
        <is>
          <t>KEEP</t>
        </is>
      </c>
      <c r="G75" s="6" t="inlineStr">
        <is>
          <t>Y</t>
        </is>
      </c>
      <c r="H75" s="6" t="inlineStr"/>
      <c r="I75" s="6" t="inlineStr">
        <is>
          <t>select exactly {2, 103}</t>
        </is>
      </c>
      <c r="J75" s="6" t="inlineStr">
        <is>
          <t>-what you are built on-</t>
        </is>
      </c>
      <c r="K75" s="6" t="inlineStr"/>
      <c r="L75" s="6" t="inlineStr">
        <is>
          <t>206</t>
        </is>
      </c>
      <c r="M75" s="6" t="inlineStr"/>
      <c r="N75" s="6" t="inlineStr">
        <is>
          <t>New nodes</t>
        </is>
      </c>
      <c r="O75" s="6" t="inlineStr">
        <is>
          <t>Open</t>
        </is>
      </c>
      <c r="P75" s="6" t="inlineStr"/>
      <c r="Q75" s="8" t="inlineStr">
        <is>
          <t>Human skeleton</t>
        </is>
      </c>
      <c r="R75" s="6" t="inlineStr"/>
    </row>
    <row r="76">
      <c r="A76" s="6" t="n">
        <v>75</v>
      </c>
      <c r="B76" s="6" t="inlineStr">
        <is>
          <t>inherited</t>
        </is>
      </c>
      <c r="C76" s="6" t="inlineStr">
        <is>
          <t>INHERITED!</t>
        </is>
      </c>
      <c r="D76" s="6" t="inlineStr">
        <is>
          <t>Culture</t>
        </is>
      </c>
      <c r="E76" s="6" t="inlineStr">
        <is>
          <t>Geek</t>
        </is>
      </c>
      <c r="F76" s="7" t="inlineStr">
        <is>
          <t>KEEP</t>
        </is>
      </c>
      <c r="G76" s="6" t="inlineStr">
        <is>
          <t>Y</t>
        </is>
      </c>
      <c r="H76" s="6" t="inlineStr"/>
      <c r="I76" s="6" t="inlineStr">
        <is>
          <t>select exactly {2, 23}</t>
        </is>
      </c>
      <c r="J76" s="6" t="inlineStr">
        <is>
          <t>-what makes you you-</t>
        </is>
      </c>
      <c r="K76" s="6" t="inlineStr"/>
      <c r="L76" s="6" t="inlineStr">
        <is>
          <t>46</t>
        </is>
      </c>
      <c r="M76" s="6" t="inlineStr"/>
      <c r="N76" s="6" t="inlineStr">
        <is>
          <t>New nodes</t>
        </is>
      </c>
      <c r="O76" s="6" t="inlineStr">
        <is>
          <t>Open</t>
        </is>
      </c>
      <c r="P76" s="12" t="inlineStr">
        <is>
          <t>also fires SQUARE UP!</t>
        </is>
      </c>
      <c r="Q76" s="8" t="inlineStr">
        <is>
          <t>Chromosome</t>
        </is>
      </c>
      <c r="R76" s="6" t="inlineStr"/>
    </row>
    <row r="77">
      <c r="A77" s="6" t="n">
        <v>76</v>
      </c>
      <c r="B77" s="6" t="inlineStr">
        <is>
          <t>elements</t>
        </is>
      </c>
      <c r="C77" s="6" t="inlineStr">
        <is>
          <t>ELEMENTS!</t>
        </is>
      </c>
      <c r="D77" s="6" t="inlineStr">
        <is>
          <t>Culture</t>
        </is>
      </c>
      <c r="E77" s="6" t="inlineStr">
        <is>
          <t>Geek</t>
        </is>
      </c>
      <c r="F77" s="7" t="inlineStr">
        <is>
          <t>KEEP</t>
        </is>
      </c>
      <c r="G77" s="6" t="inlineStr">
        <is>
          <t>Y</t>
        </is>
      </c>
      <c r="H77" s="6" t="inlineStr"/>
      <c r="I77" s="6" t="inlineStr">
        <is>
          <t>select exactly {2, 59}</t>
        </is>
      </c>
      <c r="J77" s="6" t="inlineStr">
        <is>
          <t>-the whole table-</t>
        </is>
      </c>
      <c r="K77" s="6" t="inlineStr"/>
      <c r="L77" s="6" t="inlineStr">
        <is>
          <t>118</t>
        </is>
      </c>
      <c r="M77" s="6" t="inlineStr"/>
      <c r="N77" s="6" t="inlineStr">
        <is>
          <t>New nodes</t>
        </is>
      </c>
      <c r="O77" s="6" t="inlineStr">
        <is>
          <t>Open</t>
        </is>
      </c>
      <c r="P77" s="6" t="inlineStr"/>
      <c r="Q77" s="8" t="inlineStr">
        <is>
          <t>Periodic table</t>
        </is>
      </c>
      <c r="R77" s="6" t="inlineStr"/>
    </row>
    <row r="78">
      <c r="A78" s="6" t="n">
        <v>77</v>
      </c>
      <c r="B78" s="6" t="inlineStr">
        <is>
          <t>freezing</t>
        </is>
      </c>
      <c r="C78" s="6" t="inlineStr">
        <is>
          <t>FREEZING!</t>
        </is>
      </c>
      <c r="D78" s="6" t="inlineStr">
        <is>
          <t>Culture</t>
        </is>
      </c>
      <c r="E78" s="6" t="inlineStr">
        <is>
          <t>Geek</t>
        </is>
      </c>
      <c r="F78" s="7" t="inlineStr">
        <is>
          <t>KEEP</t>
        </is>
      </c>
      <c r="G78" s="6" t="inlineStr">
        <is>
          <t>Y</t>
        </is>
      </c>
      <c r="H78" s="6" t="inlineStr"/>
      <c r="I78" s="6" t="inlineStr">
        <is>
          <t>select exactly {3, 7, 13}</t>
        </is>
      </c>
      <c r="J78" s="6" t="inlineStr">
        <is>
          <t>-where water gives up, K?-</t>
        </is>
      </c>
      <c r="K78" s="6" t="inlineStr"/>
      <c r="L78" s="6" t="inlineStr">
        <is>
          <t>273</t>
        </is>
      </c>
      <c r="M78" s="6" t="inlineStr"/>
      <c r="N78" s="6" t="inlineStr">
        <is>
          <t>New nodes</t>
        </is>
      </c>
      <c r="O78" s="6" t="inlineStr">
        <is>
          <t>Open</t>
        </is>
      </c>
      <c r="P78" s="6" t="inlineStr"/>
      <c r="Q78" s="8" t="inlineStr">
        <is>
          <t>Kelvin</t>
        </is>
      </c>
      <c r="R78" s="6" t="inlineStr"/>
    </row>
    <row r="79">
      <c r="A79" s="6" t="n">
        <v>78</v>
      </c>
      <c r="B79" s="6" t="inlineStr">
        <is>
          <t>body-heat</t>
        </is>
      </c>
      <c r="C79" s="6" t="inlineStr">
        <is>
          <t>BODY HEAT!</t>
        </is>
      </c>
      <c r="D79" s="6" t="inlineStr">
        <is>
          <t>Culture</t>
        </is>
      </c>
      <c r="E79" s="6" t="inlineStr">
        <is>
          <t>Geek</t>
        </is>
      </c>
      <c r="F79" s="7" t="inlineStr">
        <is>
          <t>KEEP</t>
        </is>
      </c>
      <c r="G79" s="6" t="inlineStr">
        <is>
          <t>Y</t>
        </is>
      </c>
      <c r="H79" s="6" t="inlineStr"/>
      <c r="I79" s="6" t="inlineStr">
        <is>
          <t>select exactly {37}</t>
        </is>
      </c>
      <c r="J79" s="6" t="inlineStr">
        <is>
          <t>-normal, C?-</t>
        </is>
      </c>
      <c r="K79" s="6" t="inlineStr"/>
      <c r="L79" s="6" t="inlineStr">
        <is>
          <t>37</t>
        </is>
      </c>
      <c r="M79" s="6" t="inlineStr"/>
      <c r="N79" s="6" t="inlineStr">
        <is>
          <t>Joke</t>
        </is>
      </c>
      <c r="O79" s="6" t="inlineStr">
        <is>
          <t>Open</t>
        </is>
      </c>
      <c r="P79" s="6" t="inlineStr"/>
      <c r="Q79" s="8" t="inlineStr">
        <is>
          <t>Human body temperature</t>
        </is>
      </c>
      <c r="R79" s="6" t="inlineStr"/>
    </row>
    <row r="80">
      <c r="A80" s="6" t="n">
        <v>79</v>
      </c>
      <c r="B80" s="6" t="inlineStr">
        <is>
          <t>boiling</t>
        </is>
      </c>
      <c r="C80" s="6" t="inlineStr">
        <is>
          <t>BOILING!</t>
        </is>
      </c>
      <c r="D80" s="6" t="inlineStr">
        <is>
          <t>Culture</t>
        </is>
      </c>
      <c r="E80" s="6" t="inlineStr">
        <is>
          <t>Geek</t>
        </is>
      </c>
      <c r="F80" s="7" t="inlineStr">
        <is>
          <t>KEEP</t>
        </is>
      </c>
      <c r="G80" s="6" t="inlineStr">
        <is>
          <t>Y</t>
        </is>
      </c>
      <c r="H80" s="6" t="inlineStr"/>
      <c r="I80" s="6" t="inlineStr">
        <is>
          <t>select exactly {2, 53}</t>
        </is>
      </c>
      <c r="J80" s="6" t="inlineStr">
        <is>
          <t>-F water-</t>
        </is>
      </c>
      <c r="K80" s="6" t="inlineStr"/>
      <c r="L80" s="6" t="inlineStr">
        <is>
          <t>212</t>
        </is>
      </c>
      <c r="M80" s="6" t="inlineStr"/>
      <c r="N80" s="6" t="inlineStr">
        <is>
          <t>New nodes</t>
        </is>
      </c>
      <c r="O80" s="6" t="inlineStr">
        <is>
          <t>Open</t>
        </is>
      </c>
      <c r="P80" s="6" t="inlineStr"/>
      <c r="Q80" s="8" t="inlineStr">
        <is>
          <t>Fahrenheit</t>
        </is>
      </c>
      <c r="R80" s="6" t="inlineStr"/>
    </row>
    <row r="81">
      <c r="A81" s="6" t="n">
        <v>80</v>
      </c>
      <c r="B81" s="6" t="inlineStr">
        <is>
          <t>year</t>
        </is>
      </c>
      <c r="C81" s="6" t="inlineStr">
        <is>
          <t>YEAR!</t>
        </is>
      </c>
      <c r="D81" s="6" t="inlineStr">
        <is>
          <t>Culture</t>
        </is>
      </c>
      <c r="E81" s="6" t="inlineStr">
        <is>
          <t>Calendar</t>
        </is>
      </c>
      <c r="F81" s="7" t="inlineStr">
        <is>
          <t>KEEP</t>
        </is>
      </c>
      <c r="G81" s="6" t="inlineStr">
        <is>
          <t>Y</t>
        </is>
      </c>
      <c r="H81" s="6" t="inlineStr"/>
      <c r="I81" s="6" t="inlineStr">
        <is>
          <t>select exactly {5, 73}</t>
        </is>
      </c>
      <c r="J81" s="6" t="inlineStr">
        <is>
          <t>-once around-</t>
        </is>
      </c>
      <c r="K81" s="6" t="inlineStr"/>
      <c r="L81" s="6" t="inlineStr">
        <is>
          <t>365</t>
        </is>
      </c>
      <c r="M81" s="6" t="inlineStr"/>
      <c r="N81" s="6" t="inlineStr">
        <is>
          <t>New nodes</t>
        </is>
      </c>
      <c r="O81" s="6" t="inlineStr">
        <is>
          <t>Open</t>
        </is>
      </c>
      <c r="P81" s="6" t="inlineStr"/>
      <c r="Q81" s="8" t="inlineStr">
        <is>
          <t>Tropical year</t>
        </is>
      </c>
      <c r="R81" s="6" t="inlineStr">
        <is>
          <t>365 = 5 x 73. Clean decomposition of a universally recognised number.</t>
        </is>
      </c>
    </row>
    <row r="82">
      <c r="A82" s="6" t="n">
        <v>81</v>
      </c>
      <c r="B82" s="6" t="inlineStr">
        <is>
          <t>leap</t>
        </is>
      </c>
      <c r="C82" s="6" t="inlineStr">
        <is>
          <t>LEAP!</t>
        </is>
      </c>
      <c r="D82" s="6" t="inlineStr">
        <is>
          <t>Culture</t>
        </is>
      </c>
      <c r="E82" s="6" t="inlineStr">
        <is>
          <t>Calendar</t>
        </is>
      </c>
      <c r="F82" s="7" t="inlineStr">
        <is>
          <t>KEEP</t>
        </is>
      </c>
      <c r="G82" s="6" t="inlineStr">
        <is>
          <t>Y</t>
        </is>
      </c>
      <c r="H82" s="6" t="inlineStr"/>
      <c r="I82" s="6" t="inlineStr">
        <is>
          <t>select exactly {2, 3, 61}</t>
        </is>
      </c>
      <c r="J82" s="6" t="inlineStr">
        <is>
          <t>-dayn't-</t>
        </is>
      </c>
      <c r="K82" s="6" t="inlineStr"/>
      <c r="L82" s="6" t="inlineStr">
        <is>
          <t>366</t>
        </is>
      </c>
      <c r="M82" s="6" t="inlineStr"/>
      <c r="N82" s="6" t="inlineStr">
        <is>
          <t>New nodes</t>
        </is>
      </c>
      <c r="O82" s="6" t="inlineStr">
        <is>
          <t>Open</t>
        </is>
      </c>
      <c r="P82" s="6" t="inlineStr"/>
      <c r="Q82" s="8" t="inlineStr">
        <is>
          <t>Leap year</t>
        </is>
      </c>
      <c r="R82" s="6" t="inlineStr"/>
    </row>
    <row r="83">
      <c r="A83" s="6" t="n">
        <v>82</v>
      </c>
      <c r="B83" s="6" t="inlineStr">
        <is>
          <t>months</t>
        </is>
      </c>
      <c r="C83" s="6" t="inlineStr">
        <is>
          <t>MONTHS!</t>
        </is>
      </c>
      <c r="D83" s="6" t="inlineStr">
        <is>
          <t>Culture</t>
        </is>
      </c>
      <c r="E83" s="6" t="inlineStr">
        <is>
          <t>Calendar</t>
        </is>
      </c>
      <c r="F83" s="7" t="inlineStr">
        <is>
          <t>KEEP</t>
        </is>
      </c>
      <c r="G83" s="6" t="inlineStr">
        <is>
          <t>Y</t>
        </is>
      </c>
      <c r="H83" s="6" t="inlineStr"/>
      <c r="I83" s="6" t="inlineStr">
        <is>
          <t>select exactly {2, 3}</t>
        </is>
      </c>
      <c r="J83" s="6" t="inlineStr">
        <is>
          <t>-not a baker's-</t>
        </is>
      </c>
      <c r="K83" s="6" t="inlineStr"/>
      <c r="L83" s="6" t="inlineStr">
        <is>
          <t>12</t>
        </is>
      </c>
      <c r="M83" s="6" t="inlineStr"/>
      <c r="N83" s="6" t="inlineStr">
        <is>
          <t>New nodes</t>
        </is>
      </c>
      <c r="O83" s="6" t="inlineStr">
        <is>
          <t>Open</t>
        </is>
      </c>
      <c r="P83" s="6" t="inlineStr"/>
      <c r="Q83" s="8" t="inlineStr">
        <is>
          <t>Month</t>
        </is>
      </c>
      <c r="R83" s="6" t="inlineStr">
        <is>
          <t>"-not a baker’s-" is the standard the whole clue set aims at (§4).</t>
        </is>
      </c>
    </row>
    <row r="84">
      <c r="A84" s="6" t="n">
        <v>83</v>
      </c>
      <c r="B84" s="6" t="inlineStr">
        <is>
          <t>moon</t>
        </is>
      </c>
      <c r="C84" s="6" t="inlineStr">
        <is>
          <t>LUNA!</t>
        </is>
      </c>
      <c r="D84" s="6" t="inlineStr">
        <is>
          <t>Culture</t>
        </is>
      </c>
      <c r="E84" s="6" t="inlineStr">
        <is>
          <t>Calendar</t>
        </is>
      </c>
      <c r="F84" s="7" t="inlineStr">
        <is>
          <t>KEEP</t>
        </is>
      </c>
      <c r="G84" s="6" t="inlineStr">
        <is>
          <t>Y</t>
        </is>
      </c>
      <c r="H84" s="6" t="inlineStr"/>
      <c r="I84" s="6" t="inlineStr">
        <is>
          <t>select exactly {29}</t>
        </is>
      </c>
      <c r="J84" s="6" t="inlineStr">
        <is>
          <t>-one cycle of it-</t>
        </is>
      </c>
      <c r="K84" s="6" t="inlineStr"/>
      <c r="L84" s="6" t="inlineStr">
        <is>
          <t>29</t>
        </is>
      </c>
      <c r="M84" s="6" t="inlineStr"/>
      <c r="N84" s="6" t="inlineStr">
        <is>
          <t>Self</t>
        </is>
      </c>
      <c r="O84" s="6" t="inlineStr">
        <is>
          <t>Open</t>
        </is>
      </c>
      <c r="P84" s="6" t="inlineStr"/>
      <c r="Q84" s="8" t="inlineStr">
        <is>
          <t>Lunar month</t>
        </is>
      </c>
      <c r="R84" s="6" t="inlineStr"/>
    </row>
    <row r="85">
      <c r="A85" s="6" t="n">
        <v>84</v>
      </c>
      <c r="B85" s="6" t="inlineStr">
        <is>
          <t>metonic</t>
        </is>
      </c>
      <c r="C85" s="6" t="inlineStr">
        <is>
          <t>METONIC!</t>
        </is>
      </c>
      <c r="D85" s="6" t="inlineStr">
        <is>
          <t>Culture</t>
        </is>
      </c>
      <c r="E85" s="6" t="inlineStr">
        <is>
          <t>Calendar</t>
        </is>
      </c>
      <c r="F85" s="7" t="inlineStr">
        <is>
          <t>KEEP</t>
        </is>
      </c>
      <c r="G85" s="6" t="inlineStr">
        <is>
          <t>Y</t>
        </is>
      </c>
      <c r="H85" s="6" t="inlineStr"/>
      <c r="I85" s="6" t="inlineStr">
        <is>
          <t>select exactly {19}</t>
        </is>
      </c>
      <c r="J85" s="6" t="inlineStr">
        <is>
          <t>-wait long enough and the moon repeats-</t>
        </is>
      </c>
      <c r="K85" s="6" t="inlineStr"/>
      <c r="L85" s="6" t="inlineStr">
        <is>
          <t>19</t>
        </is>
      </c>
      <c r="M85" s="6" t="inlineStr"/>
      <c r="N85" s="6" t="inlineStr">
        <is>
          <t>Self</t>
        </is>
      </c>
      <c r="O85" s="6" t="inlineStr">
        <is>
          <t>Lookup</t>
        </is>
      </c>
      <c r="P85" s="6" t="inlineStr"/>
      <c r="Q85" s="8" t="inlineStr">
        <is>
          <t>Metonic cycle</t>
        </is>
      </c>
      <c r="R85" s="6" t="inlineStr">
        <is>
          <t>Flat payoff (19 -&gt; 19), but the blurb is one of the best in the list.</t>
        </is>
      </c>
    </row>
    <row r="86">
      <c r="A86" s="6" t="n">
        <v>85</v>
      </c>
      <c r="B86" s="6" t="inlineStr">
        <is>
          <t>quarter</t>
        </is>
      </c>
      <c r="C86" s="6" t="inlineStr">
        <is>
          <t>QUARTER!</t>
        </is>
      </c>
      <c r="D86" s="6" t="inlineStr">
        <is>
          <t>Culture</t>
        </is>
      </c>
      <c r="E86" s="6" t="inlineStr">
        <is>
          <t>Calendar</t>
        </is>
      </c>
      <c r="F86" s="7" t="inlineStr">
        <is>
          <t>KEEP</t>
        </is>
      </c>
      <c r="G86" s="6" t="inlineStr">
        <is>
          <t>Y</t>
        </is>
      </c>
      <c r="H86" s="6" t="inlineStr"/>
      <c r="I86" s="6" t="inlineStr">
        <is>
          <t>select exactly {7, 13}</t>
        </is>
      </c>
      <c r="J86" s="6" t="inlineStr">
        <is>
          <t>-thirteen weeks-</t>
        </is>
      </c>
      <c r="K86" s="6" t="inlineStr"/>
      <c r="L86" s="6" t="inlineStr">
        <is>
          <t>91</t>
        </is>
      </c>
      <c r="M86" s="6" t="inlineStr"/>
      <c r="N86" s="6" t="inlineStr">
        <is>
          <t>New nodes</t>
        </is>
      </c>
      <c r="O86" s="6" t="inlineStr">
        <is>
          <t>Open</t>
        </is>
      </c>
      <c r="P86" s="12" t="inlineStr">
        <is>
          <t>also fires SEXY!</t>
        </is>
      </c>
      <c r="Q86" s="8" t="inlineStr">
        <is>
          <t>Week</t>
        </is>
      </c>
      <c r="R86" s="6" t="inlineStr"/>
    </row>
    <row r="87">
      <c r="A87" s="6" t="n">
        <v>86</v>
      </c>
      <c r="B87" s="6" t="inlineStr">
        <is>
          <t>shortest</t>
        </is>
      </c>
      <c r="C87" s="6" t="inlineStr">
        <is>
          <t>SHORTEST!</t>
        </is>
      </c>
      <c r="D87" s="6" t="inlineStr">
        <is>
          <t>Culture</t>
        </is>
      </c>
      <c r="E87" s="6" t="inlineStr">
        <is>
          <t>Calendar</t>
        </is>
      </c>
      <c r="F87" s="7" t="inlineStr">
        <is>
          <t>KEEP</t>
        </is>
      </c>
      <c r="G87" s="6" t="inlineStr">
        <is>
          <t>Y</t>
        </is>
      </c>
      <c r="H87" s="6" t="inlineStr"/>
      <c r="I87" s="6" t="inlineStr">
        <is>
          <t>select exactly {2, 7}</t>
        </is>
      </c>
      <c r="J87" s="6" t="inlineStr">
        <is>
          <t>-February, usually-</t>
        </is>
      </c>
      <c r="K87" s="6" t="inlineStr"/>
      <c r="L87" s="6" t="inlineStr">
        <is>
          <t>28</t>
        </is>
      </c>
      <c r="M87" s="6" t="inlineStr"/>
      <c r="N87" s="6" t="inlineStr">
        <is>
          <t>New nodes</t>
        </is>
      </c>
      <c r="O87" s="6" t="inlineStr">
        <is>
          <t>Open</t>
        </is>
      </c>
      <c r="P87" s="12" t="inlineStr">
        <is>
          <t>also fires SQUARE UP!</t>
        </is>
      </c>
      <c r="Q87" s="8" t="inlineStr">
        <is>
          <t>February</t>
        </is>
      </c>
      <c r="R87" s="6" t="inlineStr"/>
    </row>
    <row r="88">
      <c r="A88" s="6" t="n">
        <v>87</v>
      </c>
      <c r="B88" s="6" t="inlineStr">
        <is>
          <t>longest</t>
        </is>
      </c>
      <c r="C88" s="6" t="inlineStr">
        <is>
          <t>LONGEST!</t>
        </is>
      </c>
      <c r="D88" s="6" t="inlineStr">
        <is>
          <t>Culture</t>
        </is>
      </c>
      <c r="E88" s="6" t="inlineStr">
        <is>
          <t>Calendar</t>
        </is>
      </c>
      <c r="F88" s="7" t="inlineStr">
        <is>
          <t>KEEP</t>
        </is>
      </c>
      <c r="G88" s="6" t="inlineStr">
        <is>
          <t>Y</t>
        </is>
      </c>
      <c r="H88" s="6" t="inlineStr"/>
      <c r="I88" s="6" t="inlineStr">
        <is>
          <t>select exactly {31}</t>
        </is>
      </c>
      <c r="J88" s="6" t="inlineStr">
        <is>
          <t>-thirty days hath not this one-</t>
        </is>
      </c>
      <c r="K88" s="6" t="inlineStr"/>
      <c r="L88" s="6" t="inlineStr">
        <is>
          <t>31</t>
        </is>
      </c>
      <c r="M88" s="6" t="inlineStr"/>
      <c r="N88" s="6" t="inlineStr">
        <is>
          <t>Self</t>
        </is>
      </c>
      <c r="O88" s="6" t="inlineStr">
        <is>
          <t>Open</t>
        </is>
      </c>
      <c r="P88" s="6" t="inlineStr"/>
      <c r="Q88" s="8" t="inlineStr">
        <is>
          <t>Gregorian calendar</t>
        </is>
      </c>
      <c r="R88" s="6" t="inlineStr"/>
    </row>
    <row r="89">
      <c r="A89" s="6" t="n">
        <v>88</v>
      </c>
      <c r="B89" s="6" t="inlineStr">
        <is>
          <t>help</t>
        </is>
      </c>
      <c r="C89" s="6" t="inlineStr">
        <is>
          <t>HELP!</t>
        </is>
      </c>
      <c r="D89" s="6" t="inlineStr">
        <is>
          <t>Culture</t>
        </is>
      </c>
      <c r="E89" s="6" t="inlineStr">
        <is>
          <t>Dial</t>
        </is>
      </c>
      <c r="F89" s="7" t="inlineStr">
        <is>
          <t>KEEP</t>
        </is>
      </c>
      <c r="G89" s="6" t="inlineStr">
        <is>
          <t>Y</t>
        </is>
      </c>
      <c r="H89" s="6" t="inlineStr"/>
      <c r="I89" s="6" t="inlineStr">
        <is>
          <t>range = 911</t>
        </is>
      </c>
      <c r="J89" s="6" t="inlineStr">
        <is>
          <t>-dial-</t>
        </is>
      </c>
      <c r="K89" s="6" t="inlineStr"/>
      <c r="L89" s="6" t="inlineStr">
        <is>
          <t>911</t>
        </is>
      </c>
      <c r="M89" s="6" t="inlineStr"/>
      <c r="N89" s="6" t="inlineStr">
        <is>
          <t>Self</t>
        </is>
      </c>
      <c r="O89" s="6" t="inlineStr">
        <is>
          <t>Open</t>
        </is>
      </c>
      <c r="P89" s="6" t="inlineStr"/>
      <c r="Q89" s="8" t="inlineStr">
        <is>
          <t>911 (emergency telephone number)</t>
        </is>
      </c>
      <c r="R89" s="6" t="inlineStr">
        <is>
          <t>911. Widest recognition in the cluster - keep if Dial is trimmed.</t>
        </is>
      </c>
    </row>
    <row r="90">
      <c r="A90" s="6" t="n">
        <v>89</v>
      </c>
      <c r="B90" s="6" t="inlineStr">
        <is>
          <t>central</t>
        </is>
      </c>
      <c r="C90" s="6" t="inlineStr">
        <is>
          <t>CENTRAL!</t>
        </is>
      </c>
      <c r="D90" s="6" t="inlineStr">
        <is>
          <t>Culture</t>
        </is>
      </c>
      <c r="E90" s="6" t="inlineStr">
        <is>
          <t>Dial</t>
        </is>
      </c>
      <c r="F90" s="7" t="inlineStr">
        <is>
          <t>KEEP</t>
        </is>
      </c>
      <c r="G90" s="6" t="inlineStr">
        <is>
          <t>Y</t>
        </is>
      </c>
      <c r="H90" s="6" t="inlineStr"/>
      <c r="I90" s="6" t="inlineStr">
        <is>
          <t>range = 555</t>
        </is>
      </c>
      <c r="J90" s="6" t="inlineStr">
        <is>
          <t>-the number that never rings-</t>
        </is>
      </c>
      <c r="K90" s="6" t="inlineStr"/>
      <c r="L90" s="6" t="inlineStr">
        <is>
          <t>555</t>
        </is>
      </c>
      <c r="M90" s="6" t="inlineStr"/>
      <c r="N90" s="6" t="inlineStr">
        <is>
          <t>Self</t>
        </is>
      </c>
      <c r="O90" s="6" t="inlineStr">
        <is>
          <t>Open</t>
        </is>
      </c>
      <c r="P90" s="6" t="inlineStr"/>
      <c r="Q90" s="8" t="inlineStr">
        <is>
          <t>Fictitious telephone number</t>
        </is>
      </c>
      <c r="R90" s="6" t="inlineStr">
        <is>
          <t>555. Widest recognition in the cluster - keep if Dial is trimmed. The "number that never rings" fact is genuinely nice.</t>
        </is>
      </c>
    </row>
    <row r="91">
      <c r="A91" s="6" t="n">
        <v>90</v>
      </c>
      <c r="B91" s="6" t="inlineStr">
        <is>
          <t>ny</t>
        </is>
      </c>
      <c r="C91" s="6" t="inlineStr">
        <is>
          <t>NY!</t>
        </is>
      </c>
      <c r="D91" s="6" t="inlineStr">
        <is>
          <t>Culture</t>
        </is>
      </c>
      <c r="E91" s="6" t="inlineStr">
        <is>
          <t>Dial</t>
        </is>
      </c>
      <c r="F91" s="7" t="inlineStr">
        <is>
          <t>KEEP</t>
        </is>
      </c>
      <c r="G91" s="6" t="inlineStr">
        <is>
          <t>Y</t>
        </is>
      </c>
      <c r="H91" s="6" t="inlineStr"/>
      <c r="I91" s="6" t="inlineStr">
        <is>
          <t>range = 212</t>
        </is>
      </c>
      <c r="J91" s="6" t="inlineStr">
        <is>
          <t>-NY-</t>
        </is>
      </c>
      <c r="K91" s="6" t="inlineStr"/>
      <c r="L91" s="6" t="inlineStr">
        <is>
          <t>212</t>
        </is>
      </c>
      <c r="M91" s="6" t="inlineStr"/>
      <c r="N91" s="6" t="inlineStr">
        <is>
          <t>Self</t>
        </is>
      </c>
      <c r="O91" s="6" t="inlineStr">
        <is>
          <t>Open</t>
        </is>
      </c>
      <c r="P91" s="6" t="inlineStr"/>
      <c r="Q91" s="8" t="inlineStr">
        <is>
          <t>Area codes 212, 646, and 332</t>
        </is>
      </c>
      <c r="R91" s="6" t="inlineStr">
        <is>
          <t>212. Widest recognition in the cluster - keep if Dial is trimmed. Also doubles with BOILING! (§6), which is a real feature.</t>
        </is>
      </c>
    </row>
    <row r="92">
      <c r="A92" s="6" t="n">
        <v>91</v>
      </c>
      <c r="B92" s="6" t="inlineStr">
        <is>
          <t>space-city</t>
        </is>
      </c>
      <c r="C92" s="6" t="inlineStr">
        <is>
          <t>SPACE CITY!</t>
        </is>
      </c>
      <c r="D92" s="6" t="inlineStr">
        <is>
          <t>Culture</t>
        </is>
      </c>
      <c r="E92" s="6" t="inlineStr">
        <is>
          <t>Dial</t>
        </is>
      </c>
      <c r="F92" s="11" t="inlineStr">
        <is>
          <t>REVIEW</t>
        </is>
      </c>
      <c r="G92" s="6" t="inlineStr">
        <is>
          <t>Y</t>
        </is>
      </c>
      <c r="H92" s="6" t="inlineStr"/>
      <c r="I92" s="6" t="inlineStr">
        <is>
          <t>range = 713</t>
        </is>
      </c>
      <c r="J92" s="6" t="inlineStr">
        <is>
          <t>-we have a problem-</t>
        </is>
      </c>
      <c r="K92" s="6" t="inlineStr"/>
      <c r="L92" s="6" t="inlineStr">
        <is>
          <t>713</t>
        </is>
      </c>
      <c r="M92" s="6" t="inlineStr"/>
      <c r="N92" s="6" t="inlineStr">
        <is>
          <t>Self</t>
        </is>
      </c>
      <c r="O92" s="6" t="inlineStr">
        <is>
          <t>Lookup</t>
        </is>
      </c>
      <c r="P92" s="6" t="inlineStr"/>
      <c r="Q92" s="8" t="inlineStr">
        <is>
          <t>Area codes 713, 281, 832, 346, and 621</t>
        </is>
      </c>
      <c r="R92" s="6" t="inlineStr">
        <is>
          <t>713, Houston. Pure US area-code trivia: no integer content at all, and the payoff is the number you just typed. An international player gets nothing from it. Drop candidate if you want slots for Puzzles/Greeks - see the Distribution sheet.</t>
        </is>
      </c>
    </row>
    <row r="93">
      <c r="A93" s="6" t="n">
        <v>92</v>
      </c>
      <c r="B93" s="6" t="inlineStr">
        <is>
          <t>graceland</t>
        </is>
      </c>
      <c r="C93" s="6" t="inlineStr">
        <is>
          <t>GRACELAND!</t>
        </is>
      </c>
      <c r="D93" s="6" t="inlineStr">
        <is>
          <t>Culture</t>
        </is>
      </c>
      <c r="E93" s="6" t="inlineStr">
        <is>
          <t>Dial</t>
        </is>
      </c>
      <c r="F93" s="11" t="inlineStr">
        <is>
          <t>REVIEW</t>
        </is>
      </c>
      <c r="G93" s="6" t="inlineStr">
        <is>
          <t>Y</t>
        </is>
      </c>
      <c r="H93" s="6" t="inlineStr"/>
      <c r="I93" s="6" t="inlineStr">
        <is>
          <t>range = 901</t>
        </is>
      </c>
      <c r="J93" s="6" t="inlineStr">
        <is>
          <t>-the king-</t>
        </is>
      </c>
      <c r="K93" s="6" t="inlineStr"/>
      <c r="L93" s="6" t="inlineStr">
        <is>
          <t>901</t>
        </is>
      </c>
      <c r="M93" s="6" t="inlineStr"/>
      <c r="N93" s="6" t="inlineStr">
        <is>
          <t>Self</t>
        </is>
      </c>
      <c r="O93" s="6" t="inlineStr">
        <is>
          <t>Lookup</t>
        </is>
      </c>
      <c r="P93" s="6" t="inlineStr"/>
      <c r="Q93" s="8" t="inlineStr">
        <is>
          <t>Area code 901</t>
        </is>
      </c>
      <c r="R93" s="6" t="inlineStr">
        <is>
          <t>901, Memphis. Pure US area-code trivia: no integer content at all, and the payoff is the number you just typed. An international player gets nothing from it. Drop candidate if you want slots for Puzzles/Greeks - see the Distribution sheet.</t>
        </is>
      </c>
    </row>
    <row r="94">
      <c r="A94" s="6" t="n">
        <v>93</v>
      </c>
      <c r="B94" s="6" t="inlineStr">
        <is>
          <t>motor-city</t>
        </is>
      </c>
      <c r="C94" s="6" t="inlineStr">
        <is>
          <t>MOTOR CITY!</t>
        </is>
      </c>
      <c r="D94" s="6" t="inlineStr">
        <is>
          <t>Culture</t>
        </is>
      </c>
      <c r="E94" s="6" t="inlineStr">
        <is>
          <t>Dial</t>
        </is>
      </c>
      <c r="F94" s="7" t="inlineStr">
        <is>
          <t>KEEP</t>
        </is>
      </c>
      <c r="G94" s="6" t="inlineStr">
        <is>
          <t>Y</t>
        </is>
      </c>
      <c r="H94" s="6" t="inlineStr"/>
      <c r="I94" s="6" t="inlineStr">
        <is>
          <t>range = 313</t>
        </is>
      </c>
      <c r="J94" s="6" t="inlineStr">
        <is>
          <t>-lose yourself-</t>
        </is>
      </c>
      <c r="K94" s="6" t="inlineStr"/>
      <c r="L94" s="6" t="inlineStr">
        <is>
          <t>313</t>
        </is>
      </c>
      <c r="M94" s="6" t="inlineStr"/>
      <c r="N94" s="6" t="inlineStr">
        <is>
          <t>Self</t>
        </is>
      </c>
      <c r="O94" s="6" t="inlineStr">
        <is>
          <t>Open</t>
        </is>
      </c>
      <c r="P94" s="6" t="inlineStr"/>
      <c r="Q94" s="8" t="inlineStr">
        <is>
          <t>Area codes 313 and 679</t>
        </is>
      </c>
      <c r="R94" s="6" t="inlineStr">
        <is>
          <t>313. Widest recognition in the cluster - keep if Dial is trimmed. Motown and techno read well outside the US.</t>
        </is>
      </c>
    </row>
    <row r="95">
      <c r="A95" s="6" t="n">
        <v>94</v>
      </c>
      <c r="B95" s="6" t="inlineStr">
        <is>
          <t>vice</t>
        </is>
      </c>
      <c r="C95" s="6" t="inlineStr">
        <is>
          <t>VICE!</t>
        </is>
      </c>
      <c r="D95" s="6" t="inlineStr">
        <is>
          <t>Culture</t>
        </is>
      </c>
      <c r="E95" s="6" t="inlineStr">
        <is>
          <t>Dial</t>
        </is>
      </c>
      <c r="F95" s="11" t="inlineStr">
        <is>
          <t>REVIEW</t>
        </is>
      </c>
      <c r="G95" s="6" t="inlineStr">
        <is>
          <t>Y</t>
        </is>
      </c>
      <c r="H95" s="6" t="inlineStr"/>
      <c r="I95" s="6" t="inlineStr">
        <is>
          <t>range = 305</t>
        </is>
      </c>
      <c r="J95" s="6" t="inlineStr">
        <is>
          <t>-south beach-</t>
        </is>
      </c>
      <c r="K95" s="6" t="inlineStr"/>
      <c r="L95" s="6" t="inlineStr">
        <is>
          <t>305</t>
        </is>
      </c>
      <c r="M95" s="6" t="inlineStr"/>
      <c r="N95" s="6" t="inlineStr">
        <is>
          <t>Self</t>
        </is>
      </c>
      <c r="O95" s="6" t="inlineStr">
        <is>
          <t>Lookup</t>
        </is>
      </c>
      <c r="P95" s="6" t="inlineStr"/>
      <c r="Q95" s="8" t="inlineStr">
        <is>
          <t>Area codes 305, 786, and 645</t>
        </is>
      </c>
      <c r="R95" s="6" t="inlineStr">
        <is>
          <t>305, Miami. Pure US area-code trivia: no integer content at all, and the payoff is the number you just typed. An international player gets nothing from it. Drop candidate if you want slots for Puzzles/Greeks - see the Distribution sheet. Also one of the two dials reachable by selection (§8).</t>
        </is>
      </c>
    </row>
    <row r="96">
      <c r="A96" s="6" t="n">
        <v>95</v>
      </c>
      <c r="B96" s="6" t="inlineStr">
        <is>
          <t>bay</t>
        </is>
      </c>
      <c r="C96" s="6" t="inlineStr">
        <is>
          <t>BAY!</t>
        </is>
      </c>
      <c r="D96" s="6" t="inlineStr">
        <is>
          <t>Culture</t>
        </is>
      </c>
      <c r="E96" s="6" t="inlineStr">
        <is>
          <t>Dial</t>
        </is>
      </c>
      <c r="F96" s="11" t="inlineStr">
        <is>
          <t>REVIEW</t>
        </is>
      </c>
      <c r="G96" s="6" t="inlineStr">
        <is>
          <t>Y</t>
        </is>
      </c>
      <c r="H96" s="6" t="inlineStr"/>
      <c r="I96" s="6" t="inlineStr">
        <is>
          <t>range = 415</t>
        </is>
      </c>
      <c r="J96" s="6" t="inlineStr">
        <is>
          <t>-by the bay-</t>
        </is>
      </c>
      <c r="K96" s="6" t="inlineStr"/>
      <c r="L96" s="6" t="inlineStr">
        <is>
          <t>415</t>
        </is>
      </c>
      <c r="M96" s="6" t="inlineStr"/>
      <c r="N96" s="6" t="inlineStr">
        <is>
          <t>Self</t>
        </is>
      </c>
      <c r="O96" s="6" t="inlineStr">
        <is>
          <t>Lookup</t>
        </is>
      </c>
      <c r="P96" s="6" t="inlineStr"/>
      <c r="Q96" s="8" t="inlineStr">
        <is>
          <t>Area codes 415 and 628</t>
        </is>
      </c>
      <c r="R96" s="6" t="inlineStr">
        <is>
          <t>415, San Francisco. Pure US area-code trivia: no integer content at all, and the payoff is the number you just typed. An international player gets nothing from it. Drop candidate if you want slots for Puzzles/Greeks - see the Distribution sheet. The other selection-reachable dial (§8).</t>
        </is>
      </c>
    </row>
    <row r="97">
      <c r="A97" s="6" t="n">
        <v>96</v>
      </c>
      <c r="B97" s="6" t="inlineStr">
        <is>
          <t>aloha</t>
        </is>
      </c>
      <c r="C97" s="6" t="inlineStr">
        <is>
          <t>ALOHA!</t>
        </is>
      </c>
      <c r="D97" s="6" t="inlineStr">
        <is>
          <t>Culture</t>
        </is>
      </c>
      <c r="E97" s="6" t="inlineStr">
        <is>
          <t>Dial</t>
        </is>
      </c>
      <c r="F97" s="7" t="inlineStr">
        <is>
          <t>KEEP</t>
        </is>
      </c>
      <c r="G97" s="6" t="inlineStr">
        <is>
          <t>Y</t>
        </is>
      </c>
      <c r="H97" s="6" t="inlineStr"/>
      <c r="I97" s="6" t="inlineStr">
        <is>
          <t>range = 808</t>
        </is>
      </c>
      <c r="J97" s="6" t="inlineStr">
        <is>
          <t>-island time-</t>
        </is>
      </c>
      <c r="K97" s="6" t="inlineStr"/>
      <c r="L97" s="6" t="inlineStr">
        <is>
          <t>808</t>
        </is>
      </c>
      <c r="M97" s="6" t="inlineStr"/>
      <c r="N97" s="6" t="inlineStr">
        <is>
          <t>Self</t>
        </is>
      </c>
      <c r="O97" s="6" t="inlineStr">
        <is>
          <t>Open</t>
        </is>
      </c>
      <c r="P97" s="6" t="inlineStr"/>
      <c r="Q97" s="8" t="inlineStr">
        <is>
          <t>Area code 808</t>
        </is>
      </c>
      <c r="R97" s="6" t="inlineStr">
        <is>
          <t>808. Widest recognition in the cluster - keep if Dial is trimmed. The TR-808 double meaning carries it worldwide.</t>
        </is>
      </c>
    </row>
    <row r="98">
      <c r="A98" s="6" t="n">
        <v>97</v>
      </c>
      <c r="B98" s="6" t="inlineStr">
        <is>
          <t>nola</t>
        </is>
      </c>
      <c r="C98" s="6" t="inlineStr">
        <is>
          <t>NOLA!</t>
        </is>
      </c>
      <c r="D98" s="6" t="inlineStr">
        <is>
          <t>Culture</t>
        </is>
      </c>
      <c r="E98" s="6" t="inlineStr">
        <is>
          <t>Dial</t>
        </is>
      </c>
      <c r="F98" s="11" t="inlineStr">
        <is>
          <t>REVIEW</t>
        </is>
      </c>
      <c r="G98" s="6" t="inlineStr">
        <is>
          <t>Y</t>
        </is>
      </c>
      <c r="H98" s="6" t="inlineStr"/>
      <c r="I98" s="6" t="inlineStr">
        <is>
          <t>range = 504</t>
        </is>
      </c>
      <c r="J98" s="6" t="inlineStr">
        <is>
          <t>-the big easy-</t>
        </is>
      </c>
      <c r="K98" s="6" t="inlineStr"/>
      <c r="L98" s="6" t="inlineStr">
        <is>
          <t>504</t>
        </is>
      </c>
      <c r="M98" s="6" t="inlineStr"/>
      <c r="N98" s="6" t="inlineStr">
        <is>
          <t>Self</t>
        </is>
      </c>
      <c r="O98" s="6" t="inlineStr">
        <is>
          <t>Lookup</t>
        </is>
      </c>
      <c r="P98" s="6" t="inlineStr"/>
      <c r="Q98" s="8" t="inlineStr">
        <is>
          <t>Area code 504</t>
        </is>
      </c>
      <c r="R98" s="6" t="inlineStr">
        <is>
          <t>504, New Orleans. Pure US area-code trivia: no integer content at all, and the payoff is the number you just typed. An international player gets nothing from it. Drop candidate if you want slots for Puzzles/Greeks - see the Distribution sheet.</t>
        </is>
      </c>
    </row>
    <row r="99">
      <c r="A99" s="6" t="n">
        <v>98</v>
      </c>
      <c r="B99" s="6" t="inlineStr">
        <is>
          <t>phi</t>
        </is>
      </c>
      <c r="C99" s="6" t="inlineStr">
        <is>
          <t>PHI!</t>
        </is>
      </c>
      <c r="D99" s="6" t="inlineStr">
        <is>
          <t>Culture</t>
        </is>
      </c>
      <c r="E99" s="6" t="inlineStr">
        <is>
          <t>Greeks</t>
        </is>
      </c>
      <c r="F99" s="7" t="inlineStr">
        <is>
          <t>KEEP</t>
        </is>
      </c>
      <c r="G99" s="6" t="inlineStr">
        <is>
          <t>Y</t>
        </is>
      </c>
      <c r="H99" s="6" t="inlineStr"/>
      <c r="I99" s="6" t="inlineStr">
        <is>
          <t>dom</t>
        </is>
      </c>
      <c r="J99" s="6" t="inlineStr">
        <is>
          <t>-the angle nature picks-</t>
        </is>
      </c>
      <c r="K99" s="6" t="inlineStr"/>
      <c r="L99" s="6" t="inlineStr">
        <is>
          <t>137</t>
        </is>
      </c>
      <c r="M99" s="6" t="inlineStr"/>
      <c r="N99" s="6" t="inlineStr">
        <is>
          <t>Joke</t>
        </is>
      </c>
      <c r="O99" s="6" t="inlineStr">
        <is>
          <t>Open</t>
        </is>
      </c>
      <c r="P99" s="6" t="inlineStr"/>
      <c r="Q99" s="8" t="inlineStr">
        <is>
          <t>Golden angle</t>
        </is>
      </c>
      <c r="R99" s="6" t="inlineStr">
        <is>
          <t>Binds to the "Reset to phi" button - see the default-state trap in §8.</t>
        </is>
      </c>
    </row>
    <row r="100">
      <c r="A100" s="6" t="n">
        <v>99</v>
      </c>
      <c r="B100" s="6" t="inlineStr">
        <is>
          <t>pi</t>
        </is>
      </c>
      <c r="C100" s="6" t="inlineStr">
        <is>
          <t>PI!</t>
        </is>
      </c>
      <c r="D100" s="6" t="inlineStr">
        <is>
          <t>Culture</t>
        </is>
      </c>
      <c r="E100" s="6" t="inlineStr">
        <is>
          <t>Greeks</t>
        </is>
      </c>
      <c r="F100" s="7" t="inlineStr">
        <is>
          <t>KEEP</t>
        </is>
      </c>
      <c r="G100" s="6" t="inlineStr">
        <is>
          <t>Y</t>
        </is>
      </c>
      <c r="H100" s="6" t="inlineStr"/>
      <c r="I100" s="6" t="inlineStr">
        <is>
          <t>state</t>
        </is>
      </c>
      <c r="J100" s="6" t="inlineStr">
        <is>
          <t>-half a turn-</t>
        </is>
      </c>
      <c r="K100" s="6" t="inlineStr"/>
      <c r="L100" s="6" t="inlineStr">
        <is>
          <t>314</t>
        </is>
      </c>
      <c r="M100" s="6" t="inlineStr"/>
      <c r="N100" s="6" t="inlineStr">
        <is>
          <t>Pattern</t>
        </is>
      </c>
      <c r="O100" s="6" t="inlineStr">
        <is>
          <t>Open</t>
        </is>
      </c>
      <c r="P100" s="6" t="inlineStr"/>
      <c r="Q100" s="8" t="inlineStr">
        <is>
          <t>Pi</t>
        </is>
      </c>
      <c r="R100" s="6" t="inlineStr">
        <is>
          <t>Quietly the best teaching achievement in the app: set a rational angle and the figure collapses into arms, which is exactly what the golden angle is avoiding.</t>
        </is>
      </c>
    </row>
    <row r="101">
      <c r="A101" s="6" t="n">
        <v>100</v>
      </c>
      <c r="B101" s="6" t="inlineStr">
        <is>
          <t>tau</t>
        </is>
      </c>
      <c r="C101" s="6" t="inlineStr">
        <is>
          <t>TAU!</t>
        </is>
      </c>
      <c r="D101" s="6" t="inlineStr">
        <is>
          <t>Culture</t>
        </is>
      </c>
      <c r="E101" s="6" t="inlineStr">
        <is>
          <t>Greeks</t>
        </is>
      </c>
      <c r="F101" s="7" t="inlineStr">
        <is>
          <t>KEEP</t>
        </is>
      </c>
      <c r="G101" s="6" t="inlineStr">
        <is>
          <t>Y</t>
        </is>
      </c>
      <c r="H101" s="6" t="inlineStr"/>
      <c r="I101" s="6" t="inlineStr">
        <is>
          <t>state</t>
        </is>
      </c>
      <c r="J101" s="6" t="inlineStr">
        <is>
          <t>-the whole turn-</t>
        </is>
      </c>
      <c r="K101" s="6" t="inlineStr"/>
      <c r="L101" s="6" t="inlineStr">
        <is>
          <t>628</t>
        </is>
      </c>
      <c r="M101" s="6" t="inlineStr"/>
      <c r="N101" s="6" t="inlineStr">
        <is>
          <t>Pattern</t>
        </is>
      </c>
      <c r="O101" s="6" t="inlineStr">
        <is>
          <t>Open</t>
        </is>
      </c>
      <c r="P101" s="6" t="inlineStr"/>
      <c r="Q101" s="8" t="inlineStr">
        <is>
          <t>Tau (mathematics)</t>
        </is>
      </c>
      <c r="R101" s="6" t="inlineStr"/>
    </row>
    <row r="102">
      <c r="A102" s="6" t="n">
        <v>101</v>
      </c>
      <c r="B102" s="6" t="inlineStr">
        <is>
          <t>unity</t>
        </is>
      </c>
      <c r="C102" s="6" t="inlineStr">
        <is>
          <t>UNITY!</t>
        </is>
      </c>
      <c r="D102" s="6" t="inlineStr">
        <is>
          <t>Capstone</t>
        </is>
      </c>
      <c r="E102" s="6" t="inlineStr">
        <is>
          <t>Capstone</t>
        </is>
      </c>
      <c r="F102" s="7" t="inlineStr">
        <is>
          <t>KEEP</t>
        </is>
      </c>
      <c r="G102" s="6" t="inlineStr">
        <is>
          <t>Y</t>
        </is>
      </c>
      <c r="H102" s="6" t="inlineStr"/>
      <c r="I102" s="6" t="inlineStr">
        <is>
          <t>derived</t>
        </is>
      </c>
      <c r="J102" s="6" t="inlineStr">
        <is>
          <t>-everything else, first-</t>
        </is>
      </c>
      <c r="K102" s="6" t="inlineStr"/>
      <c r="L102" s="6" t="inlineStr">
        <is>
          <t>1</t>
        </is>
      </c>
      <c r="M102" s="6" t="inlineStr"/>
      <c r="N102" s="6" t="inlineStr">
        <is>
          <t>Pattern</t>
        </is>
      </c>
      <c r="O102" s="6" t="inlineStr">
        <is>
          <t>Open</t>
        </is>
      </c>
      <c r="P102" s="6" t="inlineStr"/>
      <c r="Q102" s="8" t="inlineStr">
        <is>
          <t>1</t>
        </is>
      </c>
      <c r="R102" s="6" t="inlineStr">
        <is>
          <t>The flood. Untouched.</t>
        </is>
      </c>
    </row>
    <row r="103">
      <c r="A103" s="6" t="inlineStr">
        <is>
          <t>new</t>
        </is>
      </c>
      <c r="B103" s="6" t="inlineStr">
        <is>
          <t>decompose</t>
        </is>
      </c>
      <c r="C103" s="6" t="inlineStr">
        <is>
          <t>DECOMPOSE!</t>
        </is>
      </c>
      <c r="D103" s="6" t="inlineStr">
        <is>
          <t>Tutorial</t>
        </is>
      </c>
      <c r="E103" s="6" t="inlineStr">
        <is>
          <t>Tutorial</t>
        </is>
      </c>
      <c r="F103" s="13" t="inlineStr">
        <is>
          <t>NEW</t>
        </is>
      </c>
      <c r="G103" s="6" t="inlineStr">
        <is>
          <t>Y</t>
        </is>
      </c>
      <c r="H103" s="6" t="inlineStr">
        <is>
          <t>CEILING!</t>
        </is>
      </c>
      <c r="I103" s="6" t="inlineStr">
        <is>
          <t>event - tap any node while the classroom lens is open</t>
        </is>
      </c>
      <c r="J103" s="6" t="inlineStr"/>
      <c r="K103" s="6" t="inlineStr">
        <is>
          <t>-take one apart-</t>
        </is>
      </c>
      <c r="L103" s="6" t="inlineStr">
        <is>
          <t>-</t>
        </is>
      </c>
      <c r="M103" s="6" t="inlineStr">
        <is>
          <t>30</t>
        </is>
      </c>
      <c r="N103" s="6" t="inlineStr">
        <is>
          <t>New nodes</t>
        </is>
      </c>
      <c r="O103" s="6" t="inlineStr">
        <is>
          <t>Open</t>
        </is>
      </c>
      <c r="P103" s="6" t="inlineStr"/>
      <c r="Q103" s="8" t="inlineStr">
        <is>
          <t>Fundamental theorem of arithmetic</t>
        </is>
      </c>
      <c r="R103" s="6" t="inlineStr">
        <is>
          <t>The feature you asked for. Decomposition is the strongest explanatory thing in the app and nothing currently points at it; NERD! rewards opening the lens and stops there. Gilds 30 because it is the cleanest three-distinct-factor number in the grid and 42 is already NERD!’s. CODE: buildDecomposition() at lens.js:557 emits nothing today - needs one line, emit(‘lens:decompose’, { n }), then it is an `event` trigger exactly like OUCH! already is.</t>
        </is>
      </c>
    </row>
    <row r="104">
      <c r="A104" s="6" t="inlineStr">
        <is>
          <t>new</t>
        </is>
      </c>
      <c r="B104" s="6" t="inlineStr">
        <is>
          <t>tempted</t>
        </is>
      </c>
      <c r="C104" s="6" t="inlineStr">
        <is>
          <t>TEMPTED!</t>
        </is>
      </c>
      <c r="D104" s="6" t="inlineStr">
        <is>
          <t>Tutorial</t>
        </is>
      </c>
      <c r="E104" s="6" t="inlineStr">
        <is>
          <t>Tutorial</t>
        </is>
      </c>
      <c r="F104" s="13" t="inlineStr">
        <is>
          <t>NEW</t>
        </is>
      </c>
      <c r="G104" s="6" t="inlineStr">
        <is>
          <t>Y</t>
        </is>
      </c>
      <c r="H104" s="6" t="inlineStr">
        <is>
          <t>MERSENNE!</t>
        </is>
      </c>
      <c r="I104" s="6" t="inlineStr">
        <is>
          <t>event - open the ad paywall (never on purchase)</t>
        </is>
      </c>
      <c r="J104" s="6" t="inlineStr"/>
      <c r="K104" s="6" t="inlineStr">
        <is>
          <t>-open the shop, buy nothing-</t>
        </is>
      </c>
      <c r="L104" s="6" t="inlineStr">
        <is>
          <t>-</t>
        </is>
      </c>
      <c r="M104" s="6" t="inlineStr">
        <is>
          <t>99</t>
        </is>
      </c>
      <c r="N104" s="6" t="inlineStr">
        <is>
          <t>Joke</t>
        </is>
      </c>
      <c r="O104" s="6" t="inlineStr">
        <is>
          <t>Open</t>
        </is>
      </c>
      <c r="P104" s="6" t="inlineStr"/>
      <c r="Q104" s="6" t="inlineStr"/>
      <c r="R104" s="6" t="inlineStr">
        <is>
          <t>The feature you asked for. Fires on OPENING the paywall and never on purchase, which keeps it clear of anything that reads as paying for an achievement. Gilds 99 - the price in cents - so it decomposes nicely if anyone taps it. CODE: openPaywall() at ads.js:277 already calls markPaywallSeen(), so the moment is precisely identified; it just needs an emit alongside it.</t>
        </is>
      </c>
    </row>
    <row r="105">
      <c r="A105" s="6" t="inlineStr">
        <is>
          <t>new</t>
        </is>
      </c>
      <c r="B105" s="6" t="inlineStr">
        <is>
          <t>gallery</t>
        </is>
      </c>
      <c r="C105" s="6" t="inlineStr">
        <is>
          <t>GALLERY!</t>
        </is>
      </c>
      <c r="D105" s="6" t="inlineStr">
        <is>
          <t>Tutorial</t>
        </is>
      </c>
      <c r="E105" s="6" t="inlineStr">
        <is>
          <t>Tutorial</t>
        </is>
      </c>
      <c r="F105" s="13" t="inlineStr">
        <is>
          <t>NEW</t>
        </is>
      </c>
      <c r="G105" s="6" t="inlineStr">
        <is>
          <t>Y</t>
        </is>
      </c>
      <c r="H105" s="6" t="inlineStr">
        <is>
          <t>NEEDS A THIRD DROP - see Distribution</t>
        </is>
      </c>
      <c r="I105" s="6" t="inlineStr">
        <is>
          <t>dom - press the trophy cup</t>
        </is>
      </c>
      <c r="J105" s="6" t="inlineStr"/>
      <c r="K105" s="6" t="inlineStr">
        <is>
          <t>-see what you have won-</t>
        </is>
      </c>
      <c r="L105" s="6" t="inlineStr">
        <is>
          <t>-</t>
        </is>
      </c>
      <c r="M105" s="6" t="inlineStr">
        <is>
          <t>100</t>
        </is>
      </c>
      <c r="N105" s="6" t="inlineStr">
        <is>
          <t>Joke</t>
        </is>
      </c>
      <c r="O105" s="6" t="inlineStr">
        <is>
          <t>Open</t>
        </is>
      </c>
      <c r="P105" s="6" t="inlineStr"/>
      <c r="Q105" s="6" t="inlineStr"/>
      <c r="R105" s="6" t="inlineStr">
        <is>
          <t>ACCEPTED by Dakota. Note this is the row that puts the total at 102 - it needs a third drop to fund it. Also now doubles as the discoverability half of the "tap an achievement to view it in the trophy room" change; see the UI changes tab. CODE: the cup already exists as a control, so this is a dom trigger on it through the existing onTrusted delegation - nothing new to wire.</t>
        </is>
      </c>
    </row>
    <row r="106">
      <c r="A106" s="6" t="inlineStr">
        <is>
          <t>new</t>
        </is>
      </c>
      <c r="B106" s="6" t="inlineStr">
        <is>
          <t>doubling</t>
        </is>
      </c>
      <c r="C106" s="6" t="inlineStr">
        <is>
          <t>DOUBLING!</t>
        </is>
      </c>
      <c r="D106" s="6" t="inlineStr">
        <is>
          <t>Math</t>
        </is>
      </c>
      <c r="E106" s="6" t="inlineStr">
        <is>
          <t>Primes</t>
        </is>
      </c>
      <c r="F106" s="14" t="inlineStr">
        <is>
          <t>REJECTED</t>
        </is>
      </c>
      <c r="G106" s="6" t="inlineStr">
        <is>
          <t>N</t>
        </is>
      </c>
      <c r="H106" s="6" t="inlineStr">
        <is>
          <t>a Dial drop</t>
        </is>
      </c>
      <c r="I106" s="6" t="inlineStr">
        <is>
          <t>state - select exactly 2 (verified free: no achievement claims {2} alone)</t>
        </is>
      </c>
      <c r="J106" s="6" t="inlineStr"/>
      <c r="K106" s="6" t="inlineStr">
        <is>
          <t>-keep doubling-</t>
        </is>
      </c>
      <c r="L106" s="6" t="inlineStr">
        <is>
          <t>-</t>
        </is>
      </c>
      <c r="M106" s="6" t="inlineStr">
        <is>
          <t>2, 4, 8, 16, 32, 64, 128, 256, 512</t>
        </is>
      </c>
      <c r="N106" s="6" t="inlineStr">
        <is>
          <t>Pattern</t>
        </is>
      </c>
      <c r="O106" s="6" t="inlineStr">
        <is>
          <t>Open</t>
        </is>
      </c>
      <c r="P106" s="6" t="inlineStr"/>
      <c r="Q106" s="6" t="inlineStr"/>
      <c r="R106" s="6" t="inlineStr">
        <is>
          <t>REJECTED by Dakota. Kept in the sheet as a record of the decision. Note that {2} therefore remains an unclaimed lone selection if anything ever wants it.</t>
        </is>
      </c>
    </row>
    <row r="107">
      <c r="A107" s="6" t="inlineStr">
        <is>
          <t>new</t>
        </is>
      </c>
      <c r="B107" s="6" t="inlineStr">
        <is>
          <t>third</t>
        </is>
      </c>
      <c r="C107" s="6" t="inlineStr">
        <is>
          <t>THIRD!</t>
        </is>
      </c>
      <c r="D107" s="6" t="inlineStr">
        <is>
          <t>Culture</t>
        </is>
      </c>
      <c r="E107" s="6" t="inlineStr">
        <is>
          <t>Greeks</t>
        </is>
      </c>
      <c r="F107" s="14" t="inlineStr">
        <is>
          <t>REJECTED</t>
        </is>
      </c>
      <c r="G107" s="6" t="inlineStr">
        <is>
          <t>N</t>
        </is>
      </c>
      <c r="H107" s="6" t="inlineStr">
        <is>
          <t>a Dial drop</t>
        </is>
      </c>
      <c r="I107" s="6" t="inlineStr">
        <is>
          <t>state - set the divergence angle to a third of a turn (120 degrees)</t>
        </is>
      </c>
      <c r="J107" s="6" t="inlineStr"/>
      <c r="K107" s="6" t="inlineStr">
        <is>
          <t>-a third of a turn-</t>
        </is>
      </c>
      <c r="L107" s="6" t="inlineStr">
        <is>
          <t>-</t>
        </is>
      </c>
      <c r="M107" s="6" t="inlineStr">
        <is>
          <t>120</t>
        </is>
      </c>
      <c r="N107" s="6" t="inlineStr">
        <is>
          <t>Pattern</t>
        </is>
      </c>
      <c r="O107" s="6" t="inlineStr">
        <is>
          <t>Open</t>
        </is>
      </c>
      <c r="P107" s="6" t="inlineStr"/>
      <c r="Q107" s="6" t="inlineStr"/>
      <c r="R107" s="6" t="inlineStr">
        <is>
          <t>REJECTED by Dakota. Kept in the sheet as a record of the decision. Greeks therefore stays at 3.</t>
        </is>
      </c>
    </row>
    <row r="109">
      <c r="A109" s="15" t="inlineStr">
        <is>
          <t>Proposed blurbs for the additions</t>
        </is>
      </c>
    </row>
    <row r="110">
      <c r="A110" s="15" t="inlineStr">
        <is>
          <t>DECOMPOSE!</t>
        </is>
      </c>
      <c r="C110" s="16" t="inlineStr">
        <is>
          <t>criteria (Play Console):</t>
        </is>
      </c>
      <c r="E110" s="17" t="inlineStr">
        <is>
          <t>Tap a number under the classroom lens to break it into its prime factors.</t>
        </is>
      </c>
    </row>
    <row r="111">
      <c r="C111" s="16" t="inlineStr">
        <is>
          <t>blurb (Dakota):</t>
        </is>
      </c>
      <c r="E111" s="2" t="inlineStr">
        <is>
          <t>Every natural number has a unique collection of primes that make it up, and every collection of primes makes a natural number. This is the backbone of all mathmatics.</t>
        </is>
      </c>
    </row>
    <row r="113">
      <c r="A113" s="15" t="inlineStr">
        <is>
          <t>TEMPTED!</t>
        </is>
      </c>
      <c r="C113" s="16" t="inlineStr">
        <is>
          <t>criteria (Play Console):</t>
        </is>
      </c>
      <c r="E113" s="17" t="inlineStr">
        <is>
          <t>Open the advertisement shop.</t>
        </is>
      </c>
    </row>
    <row r="114">
      <c r="C114" s="16" t="inlineStr">
        <is>
          <t>blurb (Dakota):</t>
        </is>
      </c>
      <c r="E114" s="2" t="inlineStr">
        <is>
          <t>Spare a coin?</t>
        </is>
      </c>
    </row>
    <row r="116">
      <c r="A116" s="15" t="inlineStr">
        <is>
          <t>GALLERY!</t>
        </is>
      </c>
      <c r="C116" s="16" t="inlineStr">
        <is>
          <t>criteria (Play Console):</t>
        </is>
      </c>
      <c r="E116" s="17" t="inlineStr">
        <is>
          <t>Open the trophy room.</t>
        </is>
      </c>
    </row>
    <row r="117">
      <c r="C117" s="16" t="inlineStr">
        <is>
          <t>blurb (Dakota):</t>
        </is>
      </c>
      <c r="E117" s="2" t="inlineStr">
        <is>
          <t>The trophy room shows you all that you've unlocked. Look at that!</t>
        </is>
      </c>
    </row>
    <row r="119">
      <c r="A119" s="15" t="inlineStr">
        <is>
          <t>DOUBLING!  [REJECTED]</t>
        </is>
      </c>
      <c r="C119" s="16" t="inlineStr">
        <is>
          <t>criteria (Play Console):</t>
        </is>
      </c>
      <c r="E119" s="17" t="inlineStr">
        <is>
          <t>Select exactly the prime 2.</t>
        </is>
      </c>
    </row>
    <row r="120">
      <c r="C120" s="16" t="inlineStr">
        <is>
          <t>blurb (proposed):</t>
        </is>
      </c>
      <c r="E120" s="2" t="inlineStr">
        <is>
          <t>Doubling from 2 gets you nine numbers before you leave the grid, and then it is gone. Everything that looks slow at the start of the number line has already left by the end of it.</t>
        </is>
      </c>
    </row>
    <row r="122">
      <c r="A122" s="15" t="inlineStr">
        <is>
          <t>THIRD!  [REJECTED]</t>
        </is>
      </c>
      <c r="C122" s="16" t="inlineStr">
        <is>
          <t>criteria (Play Console):</t>
        </is>
      </c>
      <c r="E122" s="17" t="inlineStr">
        <is>
          <t>Set the divergence angle to 120 degrees.</t>
        </is>
      </c>
    </row>
    <row r="123">
      <c r="C123" s="16" t="inlineStr">
        <is>
          <t>blurb (proposed):</t>
        </is>
      </c>
      <c r="E123" s="2" t="inlineStr">
        <is>
          <t>Half a turn gave two arms. A third of a turn gives three. The bottom of the fraction is the number of arms you get, every time - which is why the golden angle, which is not any fraction at all, never gives you arms.</t>
        </is>
      </c>
    </row>
  </sheetData>
  <autoFilter ref="A1:R107"/>
  <hyperlinks>
    <hyperlink xmlns:r="http://schemas.openxmlformats.org/officeDocument/2006/relationships" ref="Q3" r:id="rId1"/>
    <hyperlink xmlns:r="http://schemas.openxmlformats.org/officeDocument/2006/relationships" ref="Q4" r:id="rId2"/>
    <hyperlink xmlns:r="http://schemas.openxmlformats.org/officeDocument/2006/relationships" ref="Q16" r:id="rId3"/>
    <hyperlink xmlns:r="http://schemas.openxmlformats.org/officeDocument/2006/relationships" ref="Q17" r:id="rId4"/>
    <hyperlink xmlns:r="http://schemas.openxmlformats.org/officeDocument/2006/relationships" ref="Q18" r:id="rId5"/>
    <hyperlink xmlns:r="http://schemas.openxmlformats.org/officeDocument/2006/relationships" ref="Q19" r:id="rId6"/>
    <hyperlink xmlns:r="http://schemas.openxmlformats.org/officeDocument/2006/relationships" ref="Q20" r:id="rId7"/>
    <hyperlink xmlns:r="http://schemas.openxmlformats.org/officeDocument/2006/relationships" ref="Q21" r:id="rId8"/>
    <hyperlink xmlns:r="http://schemas.openxmlformats.org/officeDocument/2006/relationships" ref="Q22" r:id="rId9"/>
    <hyperlink xmlns:r="http://schemas.openxmlformats.org/officeDocument/2006/relationships" ref="Q23" r:id="rId10"/>
    <hyperlink xmlns:r="http://schemas.openxmlformats.org/officeDocument/2006/relationships" ref="Q24" r:id="rId11"/>
    <hyperlink xmlns:r="http://schemas.openxmlformats.org/officeDocument/2006/relationships" ref="Q25" r:id="rId12"/>
    <hyperlink xmlns:r="http://schemas.openxmlformats.org/officeDocument/2006/relationships" ref="Q26" r:id="rId13"/>
    <hyperlink xmlns:r="http://schemas.openxmlformats.org/officeDocument/2006/relationships" ref="Q27" r:id="rId14"/>
    <hyperlink xmlns:r="http://schemas.openxmlformats.org/officeDocument/2006/relationships" ref="Q28" r:id="rId15"/>
    <hyperlink xmlns:r="http://schemas.openxmlformats.org/officeDocument/2006/relationships" ref="Q29" r:id="rId16"/>
    <hyperlink xmlns:r="http://schemas.openxmlformats.org/officeDocument/2006/relationships" ref="Q30" r:id="rId17"/>
    <hyperlink xmlns:r="http://schemas.openxmlformats.org/officeDocument/2006/relationships" ref="Q31" r:id="rId18"/>
    <hyperlink xmlns:r="http://schemas.openxmlformats.org/officeDocument/2006/relationships" ref="Q32" r:id="rId19"/>
    <hyperlink xmlns:r="http://schemas.openxmlformats.org/officeDocument/2006/relationships" ref="Q33" r:id="rId20"/>
    <hyperlink xmlns:r="http://schemas.openxmlformats.org/officeDocument/2006/relationships" ref="Q34" r:id="rId21"/>
    <hyperlink xmlns:r="http://schemas.openxmlformats.org/officeDocument/2006/relationships" ref="Q35" r:id="rId22"/>
    <hyperlink xmlns:r="http://schemas.openxmlformats.org/officeDocument/2006/relationships" ref="Q36" r:id="rId23"/>
    <hyperlink xmlns:r="http://schemas.openxmlformats.org/officeDocument/2006/relationships" ref="Q37" r:id="rId24"/>
    <hyperlink xmlns:r="http://schemas.openxmlformats.org/officeDocument/2006/relationships" ref="Q38" r:id="rId25"/>
    <hyperlink xmlns:r="http://schemas.openxmlformats.org/officeDocument/2006/relationships" ref="Q39" r:id="rId26"/>
    <hyperlink xmlns:r="http://schemas.openxmlformats.org/officeDocument/2006/relationships" ref="Q40" r:id="rId27"/>
    <hyperlink xmlns:r="http://schemas.openxmlformats.org/officeDocument/2006/relationships" ref="Q41" r:id="rId28"/>
    <hyperlink xmlns:r="http://schemas.openxmlformats.org/officeDocument/2006/relationships" ref="Q43" r:id="rId29"/>
    <hyperlink xmlns:r="http://schemas.openxmlformats.org/officeDocument/2006/relationships" ref="Q44" r:id="rId30"/>
    <hyperlink xmlns:r="http://schemas.openxmlformats.org/officeDocument/2006/relationships" ref="Q45" r:id="rId31"/>
    <hyperlink xmlns:r="http://schemas.openxmlformats.org/officeDocument/2006/relationships" ref="Q46" r:id="rId32"/>
    <hyperlink xmlns:r="http://schemas.openxmlformats.org/officeDocument/2006/relationships" ref="Q47" r:id="rId33"/>
    <hyperlink xmlns:r="http://schemas.openxmlformats.org/officeDocument/2006/relationships" ref="Q48" r:id="rId34"/>
    <hyperlink xmlns:r="http://schemas.openxmlformats.org/officeDocument/2006/relationships" ref="Q49" r:id="rId35"/>
    <hyperlink xmlns:r="http://schemas.openxmlformats.org/officeDocument/2006/relationships" ref="Q50" r:id="rId36"/>
    <hyperlink xmlns:r="http://schemas.openxmlformats.org/officeDocument/2006/relationships" ref="Q51" r:id="rId37"/>
    <hyperlink xmlns:r="http://schemas.openxmlformats.org/officeDocument/2006/relationships" ref="Q52" r:id="rId38"/>
    <hyperlink xmlns:r="http://schemas.openxmlformats.org/officeDocument/2006/relationships" ref="Q53" r:id="rId39"/>
    <hyperlink xmlns:r="http://schemas.openxmlformats.org/officeDocument/2006/relationships" ref="Q54" r:id="rId40"/>
    <hyperlink xmlns:r="http://schemas.openxmlformats.org/officeDocument/2006/relationships" ref="Q55" r:id="rId41"/>
    <hyperlink xmlns:r="http://schemas.openxmlformats.org/officeDocument/2006/relationships" ref="Q56" r:id="rId42"/>
    <hyperlink xmlns:r="http://schemas.openxmlformats.org/officeDocument/2006/relationships" ref="Q57" r:id="rId43"/>
    <hyperlink xmlns:r="http://schemas.openxmlformats.org/officeDocument/2006/relationships" ref="Q58" r:id="rId44"/>
    <hyperlink xmlns:r="http://schemas.openxmlformats.org/officeDocument/2006/relationships" ref="Q59" r:id="rId45"/>
    <hyperlink xmlns:r="http://schemas.openxmlformats.org/officeDocument/2006/relationships" ref="Q60" r:id="rId46"/>
    <hyperlink xmlns:r="http://schemas.openxmlformats.org/officeDocument/2006/relationships" ref="Q61" r:id="rId47"/>
    <hyperlink xmlns:r="http://schemas.openxmlformats.org/officeDocument/2006/relationships" ref="Q62" r:id="rId48"/>
    <hyperlink xmlns:r="http://schemas.openxmlformats.org/officeDocument/2006/relationships" ref="Q63" r:id="rId49"/>
    <hyperlink xmlns:r="http://schemas.openxmlformats.org/officeDocument/2006/relationships" ref="Q64" r:id="rId50"/>
    <hyperlink xmlns:r="http://schemas.openxmlformats.org/officeDocument/2006/relationships" ref="Q65" r:id="rId51"/>
    <hyperlink xmlns:r="http://schemas.openxmlformats.org/officeDocument/2006/relationships" ref="Q66" r:id="rId52"/>
    <hyperlink xmlns:r="http://schemas.openxmlformats.org/officeDocument/2006/relationships" ref="Q67" r:id="rId53"/>
    <hyperlink xmlns:r="http://schemas.openxmlformats.org/officeDocument/2006/relationships" ref="Q68" r:id="rId54"/>
    <hyperlink xmlns:r="http://schemas.openxmlformats.org/officeDocument/2006/relationships" ref="Q69" r:id="rId55"/>
    <hyperlink xmlns:r="http://schemas.openxmlformats.org/officeDocument/2006/relationships" ref="Q70" r:id="rId56"/>
    <hyperlink xmlns:r="http://schemas.openxmlformats.org/officeDocument/2006/relationships" ref="Q71" r:id="rId57"/>
    <hyperlink xmlns:r="http://schemas.openxmlformats.org/officeDocument/2006/relationships" ref="Q72" r:id="rId58"/>
    <hyperlink xmlns:r="http://schemas.openxmlformats.org/officeDocument/2006/relationships" ref="Q73" r:id="rId59"/>
    <hyperlink xmlns:r="http://schemas.openxmlformats.org/officeDocument/2006/relationships" ref="Q74" r:id="rId60"/>
    <hyperlink xmlns:r="http://schemas.openxmlformats.org/officeDocument/2006/relationships" ref="Q75" r:id="rId61"/>
    <hyperlink xmlns:r="http://schemas.openxmlformats.org/officeDocument/2006/relationships" ref="Q76" r:id="rId62"/>
    <hyperlink xmlns:r="http://schemas.openxmlformats.org/officeDocument/2006/relationships" ref="Q77" r:id="rId63"/>
    <hyperlink xmlns:r="http://schemas.openxmlformats.org/officeDocument/2006/relationships" ref="Q78" r:id="rId64"/>
    <hyperlink xmlns:r="http://schemas.openxmlformats.org/officeDocument/2006/relationships" ref="Q79" r:id="rId65"/>
    <hyperlink xmlns:r="http://schemas.openxmlformats.org/officeDocument/2006/relationships" ref="Q80" r:id="rId66"/>
    <hyperlink xmlns:r="http://schemas.openxmlformats.org/officeDocument/2006/relationships" ref="Q81" r:id="rId67"/>
    <hyperlink xmlns:r="http://schemas.openxmlformats.org/officeDocument/2006/relationships" ref="Q82" r:id="rId68"/>
    <hyperlink xmlns:r="http://schemas.openxmlformats.org/officeDocument/2006/relationships" ref="Q83" r:id="rId69"/>
    <hyperlink xmlns:r="http://schemas.openxmlformats.org/officeDocument/2006/relationships" ref="Q84" r:id="rId70"/>
    <hyperlink xmlns:r="http://schemas.openxmlformats.org/officeDocument/2006/relationships" ref="Q85" r:id="rId71"/>
    <hyperlink xmlns:r="http://schemas.openxmlformats.org/officeDocument/2006/relationships" ref="Q86" r:id="rId72"/>
    <hyperlink xmlns:r="http://schemas.openxmlformats.org/officeDocument/2006/relationships" ref="Q87" r:id="rId73"/>
    <hyperlink xmlns:r="http://schemas.openxmlformats.org/officeDocument/2006/relationships" ref="Q88" r:id="rId74"/>
    <hyperlink xmlns:r="http://schemas.openxmlformats.org/officeDocument/2006/relationships" ref="Q89" r:id="rId75"/>
    <hyperlink xmlns:r="http://schemas.openxmlformats.org/officeDocument/2006/relationships" ref="Q90" r:id="rId76"/>
    <hyperlink xmlns:r="http://schemas.openxmlformats.org/officeDocument/2006/relationships" ref="Q91" r:id="rId77"/>
    <hyperlink xmlns:r="http://schemas.openxmlformats.org/officeDocument/2006/relationships" ref="Q92" r:id="rId78"/>
    <hyperlink xmlns:r="http://schemas.openxmlformats.org/officeDocument/2006/relationships" ref="Q93" r:id="rId79"/>
    <hyperlink xmlns:r="http://schemas.openxmlformats.org/officeDocument/2006/relationships" ref="Q94" r:id="rId80"/>
    <hyperlink xmlns:r="http://schemas.openxmlformats.org/officeDocument/2006/relationships" ref="Q95" r:id="rId81"/>
    <hyperlink xmlns:r="http://schemas.openxmlformats.org/officeDocument/2006/relationships" ref="Q96" r:id="rId82"/>
    <hyperlink xmlns:r="http://schemas.openxmlformats.org/officeDocument/2006/relationships" ref="Q97" r:id="rId83"/>
    <hyperlink xmlns:r="http://schemas.openxmlformats.org/officeDocument/2006/relationships" ref="Q98" r:id="rId84"/>
    <hyperlink xmlns:r="http://schemas.openxmlformats.org/officeDocument/2006/relationships" ref="Q99" r:id="rId85"/>
    <hyperlink xmlns:r="http://schemas.openxmlformats.org/officeDocument/2006/relationships" ref="Q100" r:id="rId86"/>
    <hyperlink xmlns:r="http://schemas.openxmlformats.org/officeDocument/2006/relationships" ref="Q101" r:id="rId87"/>
    <hyperlink xmlns:r="http://schemas.openxmlformats.org/officeDocument/2006/relationships" ref="Q102" r:id="rId88"/>
    <hyperlink xmlns:r="http://schemas.openxmlformats.org/officeDocument/2006/relationships" ref="Q103" r:id="rId8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cols>
    <col width="10" customWidth="1" min="1" max="1"/>
    <col width="12" customWidth="1" min="2" max="2"/>
    <col width="8" customWidth="1" min="3" max="3"/>
    <col width="11" customWidth="1" min="4" max="4"/>
    <col width="9" customWidth="1" min="5" max="5"/>
    <col width="12" customWidth="1" min="6" max="6"/>
    <col width="88" customWidth="1" min="7" max="7"/>
  </cols>
  <sheetData>
    <row r="1">
      <c r="A1" s="18" t="inlineStr">
        <is>
          <t>Cluster distribution - current vs Scenario A</t>
        </is>
      </c>
    </row>
    <row r="2">
      <c r="A2" s="16" t="inlineStr">
        <is>
          <t>Counts are live: they read the Proposal tab, so editing a Status or an In A? there updates them here.</t>
        </is>
      </c>
    </row>
    <row r="4">
      <c r="A4" s="5" t="inlineStr">
        <is>
          <t>Branch</t>
        </is>
      </c>
      <c r="B4" s="5" t="inlineStr">
        <is>
          <t>Cluster</t>
        </is>
      </c>
      <c r="C4" s="5" t="inlineStr">
        <is>
          <t>Now</t>
        </is>
      </c>
      <c r="D4" s="5" t="inlineStr">
        <is>
          <t>Scenario A</t>
        </is>
      </c>
      <c r="E4" s="5" t="inlineStr">
        <is>
          <t>Change</t>
        </is>
      </c>
      <c r="F4" s="5" t="inlineStr">
        <is>
          <t>% of list (A)</t>
        </is>
      </c>
      <c r="G4" s="5" t="inlineStr">
        <is>
          <t>Assessment</t>
        </is>
      </c>
    </row>
    <row r="5">
      <c r="A5" s="6" t="inlineStr">
        <is>
          <t>Tutorial</t>
        </is>
      </c>
      <c r="B5" s="7" t="inlineStr">
        <is>
          <t>Tutorial</t>
        </is>
      </c>
      <c r="C5" s="6">
        <f>COUNTIFS(Proposal!$E$2:$E$107,$B5,Proposal!$F$2:$F$107,"&lt;&gt;NEW")</f>
        <v/>
      </c>
      <c r="D5" s="6">
        <f>COUNTIFS(Proposal!$E$2:$E$107,$B5,Proposal!$G$2:$G$107,"Y")</f>
        <v/>
      </c>
      <c r="E5" s="6">
        <f>D5-C5</f>
        <v/>
      </c>
      <c r="F5" s="19">
        <f>IF($D$16=0,0,D5/$D$16)</f>
        <v/>
      </c>
      <c r="G5" s="6" t="inlineStr">
        <is>
          <t>GROWS 16 -&gt; 17. Absorbs both additions and loses CEILING!. This is the right place for growth: every Tutorial entry is a feature that otherwise goes undiscovered, and two of the app's best features - decomposition and the ad shop - currently have nothing pointing at them.</t>
        </is>
      </c>
    </row>
    <row r="6">
      <c r="A6" s="6" t="inlineStr">
        <is>
          <t>Math</t>
        </is>
      </c>
      <c r="B6" s="7" t="inlineStr">
        <is>
          <t>Series</t>
        </is>
      </c>
      <c r="C6" s="6">
        <f>COUNTIFS(Proposal!$E$2:$E$107,$B6,Proposal!$F$2:$F$107,"&lt;&gt;NEW")</f>
        <v/>
      </c>
      <c r="D6" s="6">
        <f>COUNTIFS(Proposal!$E$2:$E$107,$B6,Proposal!$G$2:$G$107,"Y")</f>
        <v/>
      </c>
      <c r="E6" s="6">
        <f>D6-C6</f>
        <v/>
      </c>
      <c r="F6" s="19">
        <f>IF($D$16=0,0,D6/$D$16)</f>
        <v/>
      </c>
      <c r="G6" s="6" t="inlineStr">
        <is>
          <t>Holds at 3. Small but each one gilds a whole sequence, so the payoff density is the highest in the list.</t>
        </is>
      </c>
    </row>
    <row r="7">
      <c r="A7" s="6" t="inlineStr">
        <is>
          <t>Math</t>
        </is>
      </c>
      <c r="B7" s="7" t="inlineStr">
        <is>
          <t>Primes</t>
        </is>
      </c>
      <c r="C7" s="6">
        <f>COUNTIFS(Proposal!$E$2:$E$107,$B7,Proposal!$F$2:$F$107,"&lt;&gt;NEW")</f>
        <v/>
      </c>
      <c r="D7" s="6">
        <f>COUNTIFS(Proposal!$E$2:$E$107,$B7,Proposal!$G$2:$G$107,"Y")</f>
        <v/>
      </c>
      <c r="E7" s="6">
        <f>D7-C7</f>
        <v/>
      </c>
      <c r="F7" s="19">
        <f>IF($D$16=0,0,D7/$D$16)</f>
        <v/>
      </c>
      <c r="G7" s="6" t="inlineStr">
        <is>
          <t>SHRINKS 14 -&gt; 13 on the MERSENNE! cut. Still the largest Math cluster and the healthiest one: the five relational entries (TWINNING!, COUSINS!, SEXY!, GERMAIN!, EMIRP!) are the best achievements in the app by your rubric - clue alone is sufficient, and 37-120 nodes answer.</t>
        </is>
      </c>
    </row>
    <row r="8">
      <c r="A8" s="6" t="inlineStr">
        <is>
          <t>Math</t>
        </is>
      </c>
      <c r="B8" s="7" t="inlineStr">
        <is>
          <t>Puzzles</t>
        </is>
      </c>
      <c r="C8" s="6">
        <f>COUNTIFS(Proposal!$E$2:$E$107,$B8,Proposal!$F$2:$F$107,"&lt;&gt;NEW")</f>
        <v/>
      </c>
      <c r="D8" s="6">
        <f>COUNTIFS(Proposal!$E$2:$E$107,$B8,Proposal!$G$2:$G$107,"Y")</f>
        <v/>
      </c>
      <c r="E8" s="6">
        <f>D8-C8</f>
        <v/>
      </c>
      <c r="F8" s="19">
        <f>IF($D$16=0,0,D8/$D$16)</f>
        <v/>
      </c>
      <c r="G8" s="6" t="inlineStr">
        <is>
          <t>UNDERWEIGHT at 5. This is the cluster that most directly does what you described - GOLDBACH!, STAIRS! and RUN! build intuition about integers with no education required - and it is the second smallest in the list. First place to spend any slot you free.</t>
        </is>
      </c>
    </row>
    <row r="9">
      <c r="A9" s="6" t="inlineStr">
        <is>
          <t>Culture</t>
        </is>
      </c>
      <c r="B9" s="7" t="inlineStr">
        <is>
          <t>Meme</t>
        </is>
      </c>
      <c r="C9" s="6">
        <f>COUNTIFS(Proposal!$E$2:$E$107,$B9,Proposal!$F$2:$F$107,"&lt;&gt;NEW")</f>
        <v/>
      </c>
      <c r="D9" s="6">
        <f>COUNTIFS(Proposal!$E$2:$E$107,$B9,Proposal!$G$2:$G$107,"Y")</f>
        <v/>
      </c>
      <c r="E9" s="6">
        <f>D9-C9</f>
        <v/>
      </c>
      <c r="F9" s="19">
        <f>IF($D$16=0,0,D9/$D$16)</f>
        <v/>
      </c>
      <c r="G9" s="6" t="inlineStr">
        <is>
          <t>Holds at 13. Deliberately the smallest Culture cluster per §3 (jokes age, and Play Games will not let you remove one later). MEME! is the entry that tests that rule.</t>
        </is>
      </c>
    </row>
    <row r="10">
      <c r="A10" s="6" t="inlineStr">
        <is>
          <t>Culture</t>
        </is>
      </c>
      <c r="B10" s="7" t="inlineStr">
        <is>
          <t>Lore</t>
        </is>
      </c>
      <c r="C10" s="6">
        <f>COUNTIFS(Proposal!$E$2:$E$107,$B10,Proposal!$F$2:$F$107,"&lt;&gt;NEW")</f>
        <v/>
      </c>
      <c r="D10" s="6">
        <f>COUNTIFS(Proposal!$E$2:$E$107,$B10,Proposal!$G$2:$G$107,"Y")</f>
        <v/>
      </c>
      <c r="E10" s="6">
        <f>D10-C10</f>
        <v/>
      </c>
      <c r="F10" s="19">
        <f>IF($D$16=0,0,D10/$D$16)</f>
        <v/>
      </c>
      <c r="G10" s="6" t="inlineStr">
        <is>
          <t>Holds at 12. Healthy - mostly factor-selection with recognisable targets. Note that 4 of the 13 blurb-less achievements live here, and they are the most inside references in the list (THELEMA!/WHOLE! above all).</t>
        </is>
      </c>
    </row>
    <row r="11">
      <c r="A11" s="6" t="inlineStr">
        <is>
          <t>Culture</t>
        </is>
      </c>
      <c r="B11" s="7" t="inlineStr">
        <is>
          <t>Geek</t>
        </is>
      </c>
      <c r="C11" s="6">
        <f>COUNTIFS(Proposal!$E$2:$E$107,$B11,Proposal!$F$2:$F$107,"&lt;&gt;NEW")</f>
        <v/>
      </c>
      <c r="D11" s="6">
        <f>COUNTIFS(Proposal!$E$2:$E$107,$B11,Proposal!$G$2:$G$107,"Y")</f>
        <v/>
      </c>
      <c r="E11" s="6">
        <f>D11-C11</f>
        <v/>
      </c>
      <c r="F11" s="19">
        <f>IF($D$16=0,0,D11/$D$16)</f>
        <v/>
      </c>
      <c r="G11" s="6" t="inlineStr">
        <is>
          <t>Holds at 16, the largest cluster in the list, and it earns it: nearly every entry is recognise-the-number, factor-it, watch-it-appear. The core loop, repeated with good material.</t>
        </is>
      </c>
    </row>
    <row r="12">
      <c r="A12" s="6" t="inlineStr">
        <is>
          <t>Culture</t>
        </is>
      </c>
      <c r="B12" s="7" t="inlineStr">
        <is>
          <t>Calendar</t>
        </is>
      </c>
      <c r="C12" s="6">
        <f>COUNTIFS(Proposal!$E$2:$E$107,$B12,Proposal!$F$2:$F$107,"&lt;&gt;NEW")</f>
        <v/>
      </c>
      <c r="D12" s="6">
        <f>COUNTIFS(Proposal!$E$2:$E$107,$B12,Proposal!$G$2:$G$107,"Y")</f>
        <v/>
      </c>
      <c r="E12" s="6">
        <f>D12-C12</f>
        <v/>
      </c>
      <c r="F12" s="19">
        <f>IF($D$16=0,0,D12/$D$16)</f>
        <v/>
      </c>
      <c r="G12" s="6" t="inlineStr">
        <is>
          <t>Holds at 8. Cohesive and universally accessible - days, months, moons. Nobody needs an education for these, which is exactly the brief.</t>
        </is>
      </c>
    </row>
    <row r="13">
      <c r="A13" s="6" t="inlineStr">
        <is>
          <t>Culture</t>
        </is>
      </c>
      <c r="B13" s="7" t="inlineStr">
        <is>
          <t>Dial</t>
        </is>
      </c>
      <c r="C13" s="6">
        <f>COUNTIFS(Proposal!$E$2:$E$107,$B13,Proposal!$F$2:$F$107,"&lt;&gt;NEW")</f>
        <v/>
      </c>
      <c r="D13" s="6">
        <f>COUNTIFS(Proposal!$E$2:$E$107,$B13,Proposal!$G$2:$G$107,"Y")</f>
        <v/>
      </c>
      <c r="E13" s="6">
        <f>D13-C13</f>
        <v/>
      </c>
      <c r="F13" s="19">
        <f>IF($D$16=0,0,D13/$D$16)</f>
        <v/>
      </c>
      <c r="G13" s="6" t="inlineStr">
        <is>
          <t>THE PROBLEM CLUSTER at 10. See the note below the table.</t>
        </is>
      </c>
    </row>
    <row r="14">
      <c r="A14" s="6" t="inlineStr">
        <is>
          <t>Culture</t>
        </is>
      </c>
      <c r="B14" s="7" t="inlineStr">
        <is>
          <t>Greeks</t>
        </is>
      </c>
      <c r="C14" s="6">
        <f>COUNTIFS(Proposal!$E$2:$E$107,$B14,Proposal!$F$2:$F$107,"&lt;&gt;NEW")</f>
        <v/>
      </c>
      <c r="D14" s="6">
        <f>COUNTIFS(Proposal!$E$2:$E$107,$B14,Proposal!$G$2:$G$107,"Y")</f>
        <v/>
      </c>
      <c r="E14" s="6">
        <f>D14-C14</f>
        <v/>
      </c>
      <c r="F14" s="19">
        <f>IF($D$16=0,0,D14/$D$16)</f>
        <v/>
      </c>
      <c r="G14" s="6" t="inlineStr">
        <is>
          <t>UNDERWEIGHT at 3, and it is the cluster closest to the app's actual subject - the divergence angle is what the whole figure is built on. PI! is quietly the best teaching achievement in the app. Second place to spend a freed slot.</t>
        </is>
      </c>
    </row>
    <row r="15">
      <c r="A15" s="6" t="inlineStr">
        <is>
          <t>Capstone</t>
        </is>
      </c>
      <c r="B15" s="7" t="inlineStr">
        <is>
          <t>Capstone</t>
        </is>
      </c>
      <c r="C15" s="6">
        <f>COUNTIFS(Proposal!$E$2:$E$107,$B15,Proposal!$F$2:$F$107,"&lt;&gt;NEW")</f>
        <v/>
      </c>
      <c r="D15" s="6">
        <f>COUNTIFS(Proposal!$E$2:$E$107,$B15,Proposal!$G$2:$G$107,"Y")</f>
        <v/>
      </c>
      <c r="E15" s="6">
        <f>D15-C15</f>
        <v/>
      </c>
      <c r="F15" s="19">
        <f>IF($D$16=0,0,D15/$D$16)</f>
        <v/>
      </c>
      <c r="G15" s="6" t="inlineStr">
        <is>
          <t>UNITY!. Untouched.</t>
        </is>
      </c>
    </row>
    <row r="16">
      <c r="B16" s="15" t="inlineStr">
        <is>
          <t>TOTAL</t>
        </is>
      </c>
      <c r="C16" s="15">
        <f>SUM(C5:C15)</f>
        <v/>
      </c>
      <c r="D16" s="15">
        <f>SUM(D5:D15)</f>
        <v/>
      </c>
      <c r="E16" s="15">
        <f>D16-C16</f>
        <v/>
      </c>
      <c r="F16" s="20">
        <f>IF(D16=0,0,D16/D16)</f>
        <v/>
      </c>
    </row>
    <row r="18">
      <c r="B18" s="15" t="inlineStr">
        <is>
          <t>XP check</t>
        </is>
      </c>
      <c r="C18" s="15">
        <f>(D16-1)*15+500</f>
        <v/>
      </c>
      <c r="D18" s="16" t="inlineStr">
        <is>
          <t>must equal 2000 - the Play Games cap</t>
        </is>
      </c>
      <c r="E18" s="21">
        <f>IF(C18=2000,"OK","OVER BUDGET by "&amp;(C18-2000)&amp;" XP - see DECISION NEEDED below")</f>
        <v/>
      </c>
    </row>
    <row r="19">
      <c r="B19" s="15" t="inlineStr">
        <is>
          <t>Revealed / Hidden</t>
        </is>
      </c>
      <c r="C19" s="15">
        <f>D5</f>
        <v/>
      </c>
      <c r="D19" s="15">
        <f>D16-D5</f>
        <v/>
      </c>
      <c r="E19" s="3" t="inlineStr">
        <is>
          <t>Tutorial ships Revealed, everything else Hidden (§12). Moves 16/85 -&gt; 17/84, and the checker pins that number - free to change today, expensive after the Play Console is told.</t>
        </is>
      </c>
    </row>
    <row r="22">
      <c r="A22" s="4" t="inlineStr">
        <is>
          <t>DECISION NEEDED: the list is at 102, not 101.</t>
        </is>
      </c>
    </row>
    <row r="23">
      <c r="A23" s="2" t="inlineStr"/>
    </row>
    <row r="24">
      <c r="A24" s="2" t="inlineStr">
        <is>
          <t>You accepted GALLERY! and rejected DOUBLING! and THIRD!. That leaves three additions (DECOMPOSE!, TEMPTED!, GALLERY!) funded by two drops (CEILING!, MERSENNE!), so the total is 102 and XP is 2015 against a hard cap of 2000. One more drop is needed.</t>
        </is>
      </c>
    </row>
    <row r="25">
      <c r="A25" s="2" t="inlineStr"/>
    </row>
    <row r="26">
      <c r="A26" s="4" t="inlineStr">
        <is>
          <t>Ranked candidates, all currently marked REVIEW on the Proposal tab:</t>
        </is>
      </c>
    </row>
    <row r="27">
      <c r="A27" s="2" t="inlineStr">
        <is>
          <t xml:space="preserve">  1. GRACELAND! (901). The thinnest entry in the list - the blurb is one sentence, '901 is Memphis', and Elvis is the only hook. Nothing else in the design depends on it. This is my recommendation.</t>
        </is>
      </c>
    </row>
    <row r="28">
      <c r="A28" s="2" t="inlineStr">
        <is>
          <t xml:space="preserve">  2. SUPERPRIME!. Worst effort-to-payoff ratio in the list: 11 taps returning the same 11 nodes, and no gild set can fix it. Costs you a genuinely intuitive idea, which is why it is second rather than first.</t>
        </is>
      </c>
    </row>
    <row r="29">
      <c r="A29" s="2" t="inlineStr">
        <is>
          <t xml:space="preserve">  3. MEME! (67). The entry that ages fastest, and Play Games will not let you remove it later. Dropping it now is the only chance you get.</t>
        </is>
      </c>
    </row>
    <row r="30">
      <c r="A30" s="2" t="inlineStr"/>
    </row>
    <row r="31">
      <c r="A31" s="2" t="inlineStr">
        <is>
          <t>I have NOT applied any of these - Scenario A still reads 102 so the gap stays visible. Flip one In A? cell to N and every count on this tab follows.</t>
        </is>
      </c>
    </row>
    <row r="32">
      <c r="A32" s="2" t="inlineStr"/>
    </row>
    <row r="33">
      <c r="A33" s="2" t="inlineStr"/>
    </row>
    <row r="34">
      <c r="A34" s="4" t="inlineStr">
        <is>
          <t>Is the balance reasonable? Mostly yes, with two exceptions.</t>
        </is>
      </c>
    </row>
    <row r="35">
      <c r="A35" s="2" t="inlineStr"/>
    </row>
    <row r="36">
      <c r="A36" s="2" t="inlineStr">
        <is>
          <t>Culture is 61% of the list (62 of 101). That is defensible: the Culture mechanic - recognise a number, work out its prime factors, watch it come apart - IS the app's core loop, and it is the most newbie-accessible thing in the design. Repeating it 62 times with good material is a reasonable bet.</t>
        </is>
      </c>
    </row>
    <row r="37">
      <c r="A37" s="2" t="inlineStr"/>
    </row>
    <row r="38">
      <c r="A38" s="2" t="inlineStr">
        <is>
          <t>Math is 22% (22 of 101) for an app about integers. Lower than you might expect, but the Math entries carry far more weight per achievement - the relational ones gild 37 to 120 nodes each. I would not grow Math for its own sake; I would grow Puzzles and Greeks specifically, because those two are where 'intuition about integers' actually lives.</t>
        </is>
      </c>
    </row>
    <row r="39">
      <c r="A39" s="2" t="inlineStr"/>
    </row>
    <row r="40">
      <c r="A40" s="4" t="inlineStr">
        <is>
          <t>Dial is the exception worth acting on. 10 of 101 - a tenth of the entire list - and:</t>
        </is>
      </c>
    </row>
    <row r="41">
      <c r="A41" s="2" t="inlineStr">
        <is>
          <t xml:space="preserve">  - No integer content whatsoever. The trigger is typing a number into a slider, which is the exact thing §1 calls 'entering a password' when it explains why twelve set-the-range achievements were cut. Dial is rescued by a fiction ('a phone number is a thing you dial'), and the fiction is charming, but it buys mechanics rather than meaning.</t>
        </is>
      </c>
    </row>
    <row r="42">
      <c r="A42" s="2" t="inlineStr">
        <is>
          <t xml:space="preserve">  - The payoff is flat every single time. You type 713, and 713 lights up. Ten consecutive 'huh, yeah I guess' moments.</t>
        </is>
      </c>
    </row>
    <row r="43">
      <c r="A43" s="2" t="inlineStr">
        <is>
          <t xml:space="preserve">  - It fails your rubric in a second way you did not name. Six of the ten are US area codes with no meaning outside America. A player in Manchester or Osaka does not feel under-educated, they feel excluded - which lands in the same place.</t>
        </is>
      </c>
    </row>
    <row r="44">
      <c r="A44" s="2" t="inlineStr"/>
    </row>
    <row r="45">
      <c r="A45" s="4" t="inlineStr">
        <is>
          <t>Recommendation: keep 5, drop 5. Keep HELP! (911), CENTRAL! (555), NY! (212), ALOHA! (808) and MOTOR CITY! (313) - each has recognition or a second meaning that travels. Drop SPACE CITY!, GRACELAND!, VICE!, BAY! and NOLA!, which are area-code trivia and nothing else. That preserves the Dial mechanic and the joke while cutting its cost in half.</t>
        </is>
      </c>
    </row>
    <row r="46">
      <c r="A46" s="2" t="inlineStr"/>
    </row>
    <row r="47">
      <c r="A47" s="2" t="inlineStr">
        <is>
          <t>The arithmetic, updated for your decisions: dropping 5 from Dial frees 5 slots. One is already spoken for by GALLERY! above. DOUBLING! and THIRD! are rejected, so the remaining 4 have no designed replacement - that is design work I have not done. So the Dial cut stays a separate decision rather than a bundled one, and if you want it, tell me how many slots to fill and I will draft candidates for Puzzles.</t>
        </is>
      </c>
    </row>
    <row r="48">
      <c r="A48" s="2" t="inlineStr"/>
    </row>
    <row r="49">
      <c r="A49" s="2" t="inlineStr">
        <is>
          <t>One more, not a distribution point: 13 of the 101 have no blurb at all, 12 of them in Meme and Lore. When we come back to the Wikipedia links, those 13 are the ones that need it most - for them the link is not a footnote, it is the entire explanation.</t>
        </is>
      </c>
    </row>
  </sheetData>
  <mergeCells count="29">
    <mergeCell ref="A32:G32"/>
    <mergeCell ref="E19:G19"/>
    <mergeCell ref="A22:G22"/>
    <mergeCell ref="A35:G35"/>
    <mergeCell ref="A38:G38"/>
    <mergeCell ref="A29:G29"/>
    <mergeCell ref="A43:G43"/>
    <mergeCell ref="A28:G28"/>
    <mergeCell ref="A44:G44"/>
    <mergeCell ref="A40:G40"/>
    <mergeCell ref="A31:G31"/>
    <mergeCell ref="A39:G39"/>
    <mergeCell ref="A34:G34"/>
    <mergeCell ref="A48:G48"/>
    <mergeCell ref="A24:G24"/>
    <mergeCell ref="A30:G30"/>
    <mergeCell ref="A49:G49"/>
    <mergeCell ref="A45:G45"/>
    <mergeCell ref="A36:G36"/>
    <mergeCell ref="A25:G25"/>
    <mergeCell ref="A41:G41"/>
    <mergeCell ref="A37:G37"/>
    <mergeCell ref="A46:G46"/>
    <mergeCell ref="A27:G27"/>
    <mergeCell ref="A26:G26"/>
    <mergeCell ref="A33:G33"/>
    <mergeCell ref="A47:G47"/>
    <mergeCell ref="A42:G42"/>
    <mergeCell ref="A23:G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6" customWidth="1" min="1" max="1"/>
    <col width="18" customWidth="1" min="2" max="2"/>
    <col width="18" customWidth="1" min="3" max="3"/>
    <col width="34" customWidth="1" min="4" max="4"/>
    <col width="14" customWidth="1" min="5" max="5"/>
    <col width="2" customWidth="1" min="6" max="6"/>
  </cols>
  <sheetData>
    <row r="1">
      <c r="A1" s="18" t="inlineStr">
        <is>
          <t>Trigger collisions - a correctness bug, separate from the rubric</t>
        </is>
      </c>
    </row>
    <row r="3">
      <c r="A3" s="2" t="inlineStr">
        <is>
          <t>ACHIEVEMENTS.md §3 states the rule: 'No two achievements may share an exact selection trigger.' tools/check-achievements.mjs enforces it and passes 60 assertions - but it compares literal `sel` arrays against other literal `sel` arrays only.</t>
        </is>
      </c>
    </row>
    <row r="4">
      <c r="A4" s="2" t="inlineStr"/>
    </row>
    <row r="5">
      <c r="A5" s="2" t="inlineStr">
        <is>
          <t>The relational predicates in achievements.js are never compared against the literal sets. pairWhere() accepts ANY exactly-two-prime selection, so every two-prime literal is a candidate. Seven currently double-fire, and CARDS! triple-fires:</t>
        </is>
      </c>
    </row>
    <row r="7">
      <c r="A7" s="22" t="inlineStr">
        <is>
          <t>No</t>
        </is>
      </c>
      <c r="B7" s="22" t="inlineStr">
        <is>
          <t>Achievement</t>
        </is>
      </c>
      <c r="C7" s="22" t="inlineStr">
        <is>
          <t>Selection</t>
        </is>
      </c>
      <c r="D7" s="22" t="inlineStr">
        <is>
          <t>Also fires</t>
        </is>
      </c>
      <c r="E7" s="22" t="inlineStr">
        <is>
          <t>Cluster</t>
        </is>
      </c>
    </row>
    <row r="8">
      <c r="A8" s="23" t="n">
        <v>45</v>
      </c>
      <c r="B8" s="23" t="inlineStr">
        <is>
          <t>CARDS!</t>
        </is>
      </c>
      <c r="C8" s="23" t="inlineStr">
        <is>
          <t>{3, 7}</t>
        </is>
      </c>
      <c r="D8" s="23" t="inlineStr">
        <is>
          <t>COUSINS!, GERMAIN!</t>
        </is>
      </c>
      <c r="E8" s="23" t="inlineStr">
        <is>
          <t>Meme</t>
        </is>
      </c>
    </row>
    <row r="9">
      <c r="A9" s="23" t="n">
        <v>70</v>
      </c>
      <c r="B9" s="23" t="inlineStr">
        <is>
          <t>BEST!</t>
        </is>
      </c>
      <c r="C9" s="23" t="inlineStr">
        <is>
          <t>{37, 73}</t>
        </is>
      </c>
      <c r="D9" s="23" t="inlineStr">
        <is>
          <t>EMIRP!</t>
        </is>
      </c>
      <c r="E9" s="23" t="inlineStr">
        <is>
          <t>Geek</t>
        </is>
      </c>
    </row>
    <row r="10">
      <c r="A10" s="23" t="n">
        <v>72</v>
      </c>
      <c r="B10" s="23" t="inlineStr">
        <is>
          <t>LIGHTSPEED!</t>
        </is>
      </c>
      <c r="C10" s="23" t="inlineStr">
        <is>
          <t>{13, 23}</t>
        </is>
      </c>
      <c r="D10" s="23" t="inlineStr">
        <is>
          <t>SQUARE UP!</t>
        </is>
      </c>
      <c r="E10" s="23" t="inlineStr">
        <is>
          <t>Geek</t>
        </is>
      </c>
    </row>
    <row r="11">
      <c r="A11" s="23" t="n">
        <v>73</v>
      </c>
      <c r="B11" s="23" t="inlineStr">
        <is>
          <t>MEMORY!</t>
        </is>
      </c>
      <c r="C11" s="23" t="inlineStr">
        <is>
          <t>{2, 5}</t>
        </is>
      </c>
      <c r="D11" s="23" t="inlineStr">
        <is>
          <t>GERMAIN!</t>
        </is>
      </c>
      <c r="E11" s="23" t="inlineStr">
        <is>
          <t>Geek</t>
        </is>
      </c>
    </row>
    <row r="12">
      <c r="A12" s="23" t="n">
        <v>75</v>
      </c>
      <c r="B12" s="23" t="inlineStr">
        <is>
          <t>INHERITED!</t>
        </is>
      </c>
      <c r="C12" s="23" t="inlineStr">
        <is>
          <t>{2, 23}</t>
        </is>
      </c>
      <c r="D12" s="23" t="inlineStr">
        <is>
          <t>SQUARE UP!</t>
        </is>
      </c>
      <c r="E12" s="23" t="inlineStr">
        <is>
          <t>Geek</t>
        </is>
      </c>
    </row>
    <row r="13">
      <c r="A13" s="23" t="n">
        <v>85</v>
      </c>
      <c r="B13" s="23" t="inlineStr">
        <is>
          <t>QUARTER!</t>
        </is>
      </c>
      <c r="C13" s="23" t="inlineStr">
        <is>
          <t>{7, 13}</t>
        </is>
      </c>
      <c r="D13" s="23" t="inlineStr">
        <is>
          <t>SEXY!</t>
        </is>
      </c>
      <c r="E13" s="23" t="inlineStr">
        <is>
          <t>Calendar</t>
        </is>
      </c>
    </row>
    <row r="14">
      <c r="A14" s="23" t="n">
        <v>86</v>
      </c>
      <c r="B14" s="23" t="inlineStr">
        <is>
          <t>SHORTEST!</t>
        </is>
      </c>
      <c r="C14" s="23" t="inlineStr">
        <is>
          <t>{2, 7}</t>
        </is>
      </c>
      <c r="D14" s="23" t="inlineStr">
        <is>
          <t>SQUARE UP!</t>
        </is>
      </c>
      <c r="E14" s="23" t="inlineStr">
        <is>
          <t>Calendar</t>
        </is>
      </c>
    </row>
    <row r="16">
      <c r="A16" s="4" t="inlineStr">
        <is>
          <t>Also unbounded, and not in the table above:</t>
        </is>
      </c>
    </row>
    <row r="17">
      <c r="A17" s="2" t="inlineStr">
        <is>
          <t>GOLDBACH! fires on any two primes summing to the current range, so it stacks on top of any of the seven above when the range happens to match.</t>
        </is>
      </c>
    </row>
    <row r="18">
      <c r="A18" s="2" t="inlineStr">
        <is>
          <t>NEAT! fires on any two-prime selection containing 89 with the range at 178+.</t>
        </is>
      </c>
    </row>
    <row r="19">
      <c r="A19" s="2" t="inlineStr"/>
    </row>
    <row r="20">
      <c r="A20" s="4" t="inlineStr">
        <is>
          <t>Whether this is a bug is a design call, not a code call:</t>
        </is>
      </c>
    </row>
    <row r="21">
      <c r="A21" s="2" t="inlineStr">
        <is>
          <t>It may be a feature. Tapping {7,13} for QUARTER! and having SEXY! fire too is a small 'oh, that as well' - and by your rubric that is a genuine payoff, not a defect.</t>
        </is>
      </c>
    </row>
    <row r="22">
      <c r="A22" s="2" t="inlineStr">
        <is>
          <t>It may be the failure §3 was written to prevent: two toasts at once, two clues rendered meaningless in one tap, and no way for the player to tell which action earned which.</t>
        </is>
      </c>
    </row>
    <row r="23">
      <c r="A23" s="2" t="inlineStr"/>
    </row>
    <row r="24">
      <c r="A24" s="2" t="inlineStr">
        <is>
          <t>Either way the doc and the code currently disagree about whether the rule holds, and the checker reports green. If collisions are intended, the fix is to say so in §3 and §6 and assert the expected list in the checker - the same treatment ENIGMA! and SATOR! already get as recorded exceptions. If they are not intended, seven selections need changing.</t>
        </is>
      </c>
    </row>
  </sheetData>
  <mergeCells count="12">
    <mergeCell ref="A21:E21"/>
    <mergeCell ref="A4:E4"/>
    <mergeCell ref="A20:E20"/>
    <mergeCell ref="A24:E24"/>
    <mergeCell ref="A16:E16"/>
    <mergeCell ref="A19:E19"/>
    <mergeCell ref="A5:E5"/>
    <mergeCell ref="A23:E23"/>
    <mergeCell ref="A22:E22"/>
    <mergeCell ref="A17:E17"/>
    <mergeCell ref="A18:E18"/>
    <mergeCell ref="A3:E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4" customWidth="1" min="1" max="1"/>
    <col width="104" customWidth="1" min="2" max="2"/>
  </cols>
  <sheetData>
    <row r="1">
      <c r="A1" s="18" t="inlineStr">
        <is>
          <t>Three changes that are not per-achievement data</t>
        </is>
      </c>
    </row>
    <row r="2">
      <c r="A2" s="16" t="inlineStr">
        <is>
          <t>These live in achievements.js and in the data schema rather than in any one row, so they are here instead of on the Proposal tab.</t>
        </is>
      </c>
    </row>
    <row r="4">
      <c r="A4" s="24" t="inlineStr">
        <is>
          <t>1. Show the criteria once an achievement is unlocked</t>
        </is>
      </c>
    </row>
    <row r="5">
      <c r="A5" s="25" t="inlineStr">
        <is>
          <t>Straightforward, and the data is already sitting there.</t>
        </is>
      </c>
    </row>
    <row r="6">
      <c r="A6" s="7" t="inlineStr">
        <is>
          <t>The ask</t>
        </is>
      </c>
      <c r="B6" s="6" t="inlineStr">
        <is>
          <t>Display the criteria after unlock, because it is easy to arrive on one by accident.</t>
        </is>
      </c>
    </row>
    <row r="7">
      <c r="A7" s="7" t="inlineStr">
        <is>
          <t>Verdict</t>
        </is>
      </c>
      <c r="B7" s="6" t="inlineStr">
        <is>
          <t>Do it. Every definition already carries `criteria` - Play Console requires a public description per achievement - and a comment at achievements.js:1318 explicitly says it stays on the definitions and must not be tidied away on the grounds that nothing displays it. This makes an existing field earn its keep, and there is no data change at all.</t>
        </is>
      </c>
    </row>
    <row r="8">
      <c r="A8" s="7" t="inlineStr">
        <is>
          <t>The premise checks out</t>
        </is>
      </c>
      <c r="B8" s="6" t="inlineStr">
        <is>
          <t>Accidental arrival is not hypothetical, and it happens in at least four documented ways. (1) Seven two-prime selections also fire a relational predicate - see the Collisions tab. (2) GOLDBACH! and NEAT! stack on top of those whenever the range lines up. (3) ACHIEVEMENTS.md §8 records that selecting {5, 61} or {5, 83} reaches dials 305 and 415 with nobody having dialled, accepted as behaviour on 2026-08-23. (4) REST! fires on pausing the transport, which players will do for entirely unrelated reasons.</t>
        </is>
      </c>
    </row>
    <row r="9">
      <c r="A9" s="7" t="inlineStr">
        <is>
          <t>Where</t>
        </is>
      </c>
      <c r="B9" s="6" t="inlineStr">
        <is>
          <t>In the earned-row body, between the clue and the blurb, so a row reads name / clue / criteria / blurb. Worth putting on the toast too (achievements.js:552) - the toast is the exact moment the player asks 'what did I just do?'.</t>
        </is>
      </c>
    </row>
    <row r="10">
      <c r="A10" s="7" t="inlineStr">
        <is>
          <t>Cost</t>
        </is>
      </c>
      <c r="B10" s="6" t="inlineStr">
        <is>
          <t>One line at achievements.js:1332 and one at :552. Nothing else moves.</t>
        </is>
      </c>
    </row>
    <row r="13">
      <c r="A13" s="24" t="inlineStr">
        <is>
          <t>2. Tapping an achievement takes you to trophy room view</t>
        </is>
      </c>
    </row>
    <row r="14">
      <c r="A14" s="25" t="inlineStr">
        <is>
          <t>Right instinct, and half the mechanism already exists - but the direct version would destroy the player's figure on every tap.</t>
        </is>
      </c>
    </row>
    <row r="15">
      <c r="A15" s="7" t="inlineStr">
        <is>
          <t>What already happens</t>
        </is>
      </c>
      <c r="B15" s="6" t="inlineStr">
        <is>
          <t>setFocus() (achievements.js:865) calls fitFigureTo(), which raises N and switches all-integers on - but ONLY when something in the gild set is genuinely not being drawn - and it STASHES the previous values in rangeBeforeFocus / allIntBeforeFocus. restoreFigure() puts them back when focus clears. So 'tap to look, tap again to go back' is already the established pattern here. It is simply scoped to two knobs.</t>
        </is>
      </c>
    </row>
    <row r="16">
      <c r="A16" s="7" t="inlineStr">
        <is>
          <t>The blocker</t>
        </is>
      </c>
      <c r="B16" s="6" t="inlineStr">
        <is>
          <t>applyTrophyRoom() (achievements.js:955) clicks #reset-btn first, which writes about forty DOM values by hand plus resetMorph() and resetCamera(), and stashes NOTHING. It is destructive by design, deliberately matching Dazzle (§9). Wire that to a row tap and every tap to read a blurb silently discards whatever the player had built, with no way back.</t>
        </is>
      </c>
    </row>
    <row r="17">
      <c r="A17" s="7" t="inlineStr">
        <is>
          <t>It also reverses a decision already made</t>
        </is>
      </c>
      <c r="B17" s="6" t="inlineStr">
        <is>
          <t>ACHIEVEMENTS.md §5: 'The panel must not move on its own.' A peek that dropped the sheet on tap was built and then removed for reading as the panel jumping about for no reason. Auto-entering the trophy room is a much larger version of the same motion - worth re-deciding deliberately rather than by accident.</t>
        </is>
      </c>
    </row>
    <row r="18">
      <c r="A18" s="7" t="inlineStr">
        <is>
          <t>Option A - make the trophy room reversible</t>
        </is>
      </c>
      <c r="B18" s="6" t="inlineStr">
        <is>
          <t>Snapshot the full config before applying and restore it when focus clears: the same shape as rangeBeforeFocus, just wider. Best result, most work - and §9's warning that 'reset does not reset everything' has already been a bug twice applies in reverse. A restore that misses a knob is the same class of bug, in the same place.</t>
        </is>
      </c>
    </row>
    <row r="19">
      <c r="A19" s="7" t="inlineStr">
        <is>
          <t>Option B - an explicit control on the opened row   [RECOMMENDED]</t>
        </is>
      </c>
      <c r="B19" s="6" t="inlineStr">
        <is>
          <t>Leave the tap light and reversible as it is, and put a 'see it in the trophy room' button inside the expanded row. Destructive stays consented, exactly as the cup and Dazzle already behave. Cheapest, consistent with the existing design, and it pairs with GALLERY!: the achievement teaches that the cup exists, and the row button gives a reason to press it.</t>
        </is>
      </c>
    </row>
    <row r="20">
      <c r="A20" s="7" t="inlineStr">
        <is>
          <t>Option C - context-dependent</t>
        </is>
      </c>
      <c r="B20" s="6" t="inlineStr">
        <is>
          <t>If the player is already in trophy-room view, a tap refocuses in place; from the normal view it stays light. No new state to manage, but 'why did it behave differently that time' is a real cost.</t>
        </is>
      </c>
    </row>
    <row r="23">
      <c r="A23" s="24" t="inlineStr">
        <is>
          <t>3. Reference links</t>
        </is>
      </c>
    </row>
    <row r="24">
      <c r="A24" s="25" t="inlineStr">
        <is>
          <t>Back on. 89 of 104 get one, and every title is verified against the live Wikipedia API.</t>
        </is>
      </c>
    </row>
    <row r="25">
      <c r="A25" s="7" t="inlineStr">
        <is>
          <t>Coverage</t>
        </is>
      </c>
      <c r="B25" s="6" t="inlineStr">
        <is>
          <t>89 of 104 achievements have a proposed link, in the 'Proposed link' column on the Proposal tab. The other 15 are jokes or UI furniture where no article adds anything - ORBS!, TRIPPY!, MEME! and so on.</t>
        </is>
      </c>
    </row>
    <row r="26">
      <c r="A26" s="7" t="inlineStr">
        <is>
          <t>Verified, not guessed</t>
        </is>
      </c>
      <c r="B26" s="6" t="inlineStr">
        <is>
          <t>All 86 distinct article titles were checked against the Wikipedia API: every one exists, resolves directly, and none is a redirect or a disambiguation page. Eleven were corrected during that pass - CENTRAL! had been pointing at a disambiguation page, and every area-code article has been renamed since.</t>
        </is>
      </c>
    </row>
    <row r="27">
      <c r="A27" s="7" t="inlineStr">
        <is>
          <t>Store it as a field, not inline HTML</t>
        </is>
      </c>
      <c r="B27" s="6" t="inlineStr">
        <is>
          <t>Put the article title, or the full URL, in its own `link` field. Blurbs are shared with the Play Console paste through tools/achievements-table.mjs, so markup written into blurb text would leak straight into that column.</t>
        </is>
      </c>
    </row>
    <row r="28">
      <c r="A28" s="7" t="inlineStr">
        <is>
          <t>The plumbing decision is still real</t>
        </is>
      </c>
      <c r="B28" s="6" t="inlineStr">
        <is>
          <t>The app has no external links anywhere today, and @capacitor/browser is NOT installed - package.json carries only @capacitor/android and @capacitor/core. A bare &lt;a href&gt; inside the WebView navigates the app away with no way back, so this needs the Browser plugin or an appUrlOpen handler before the first link ships.</t>
        </is>
      </c>
    </row>
    <row r="29">
      <c r="A29" s="7" t="inlineStr">
        <is>
          <t>Checker</t>
        </is>
      </c>
      <c r="B29" s="6" t="inlineStr">
        <is>
          <t>Assert every link is https, and that all 13 blurb-less achievements have one. A periodic title re-check is cheap: the whole set is two API calls.</t>
        </is>
      </c>
    </row>
    <row r="30">
      <c r="A30" s="7" t="inlineStr">
        <is>
          <t>Priority</t>
        </is>
      </c>
      <c r="B30" s="6" t="inlineStr">
        <is>
          <t>The 13 achievements with NO blurb need this most - WHOLE!, MASONIC!, ENIGMA!, CATCH!, ROUTE!, CARDS!, JACKPOT!, SLURPEE!, JUMBO!, SPARTA!, LUCKY!, LOUDER! and MEME!. For those the link is not a footnote, it is the entire explanation.</t>
        </is>
      </c>
    </row>
  </sheetData>
  <mergeCells count="6">
    <mergeCell ref="A4:B4"/>
    <mergeCell ref="A24:B24"/>
    <mergeCell ref="A5:B5"/>
    <mergeCell ref="A13:B13"/>
    <mergeCell ref="A14:B14"/>
    <mergeCell ref="A23:B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2026-08-24T10:32:55Z</dcterms:created>
  <dcterms:modified xsi:type="dcterms:W3CDTF">2026-08-24T10:32:56Z</dcterms:modified>
</cp:coreProperties>
</file>